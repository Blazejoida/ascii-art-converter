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laze\Desktop\INF\SEM_5\Asembler_projekt\"/>
    </mc:Choice>
  </mc:AlternateContent>
  <xr:revisionPtr revIDLastSave="0" documentId="13_ncr:1_{491D6D27-87C6-440D-84BD-6205870A92E5}" xr6:coauthVersionLast="47" xr6:coauthVersionMax="47" xr10:uidLastSave="{00000000-0000-0000-0000-000000000000}"/>
  <bookViews>
    <workbookView xWindow="768" yWindow="768" windowWidth="17280" windowHeight="9960" firstSheet="1" activeTab="4" xr2:uid="{E2A7B568-139E-4BA0-A57A-374EFA02F088}"/>
  </bookViews>
  <sheets>
    <sheet name="S" sheetId="1" r:id="rId1"/>
    <sheet name="Całkowity_czas" sheetId="5" r:id="rId2"/>
    <sheet name="M" sheetId="3" r:id="rId3"/>
    <sheet name="L" sheetId="4" r:id="rId4"/>
    <sheet name="Czas_dll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D13" i="3"/>
  <c r="E13" i="3"/>
  <c r="F13" i="3"/>
  <c r="G13" i="3"/>
  <c r="H13" i="3"/>
  <c r="I13" i="3"/>
  <c r="I59" i="4"/>
  <c r="H59" i="4"/>
  <c r="G59" i="4"/>
  <c r="F59" i="4"/>
  <c r="E59" i="4"/>
  <c r="D59" i="4"/>
  <c r="C59" i="4"/>
  <c r="I50" i="4"/>
  <c r="H50" i="4"/>
  <c r="G50" i="4"/>
  <c r="F50" i="4"/>
  <c r="E50" i="4"/>
  <c r="D50" i="4"/>
  <c r="C50" i="4"/>
  <c r="I59" i="3"/>
  <c r="H59" i="3"/>
  <c r="G59" i="3"/>
  <c r="F59" i="3"/>
  <c r="E59" i="3"/>
  <c r="D59" i="3"/>
  <c r="C59" i="3"/>
  <c r="I50" i="3"/>
  <c r="H50" i="3"/>
  <c r="G50" i="3"/>
  <c r="F50" i="3"/>
  <c r="E50" i="3"/>
  <c r="D50" i="3"/>
  <c r="C50" i="3"/>
  <c r="I58" i="1"/>
  <c r="H58" i="1"/>
  <c r="G58" i="1"/>
  <c r="F58" i="1"/>
  <c r="E58" i="1"/>
  <c r="D58" i="1"/>
  <c r="C58" i="1"/>
  <c r="I49" i="1"/>
  <c r="H49" i="1"/>
  <c r="G49" i="1"/>
  <c r="F49" i="1"/>
  <c r="E49" i="1"/>
  <c r="D49" i="1"/>
  <c r="C49" i="1"/>
  <c r="D23" i="4"/>
  <c r="E23" i="4"/>
  <c r="F23" i="4"/>
  <c r="G23" i="4"/>
  <c r="H23" i="4"/>
  <c r="I23" i="4"/>
  <c r="C23" i="4"/>
  <c r="D41" i="4"/>
  <c r="E41" i="4"/>
  <c r="F41" i="4"/>
  <c r="G41" i="4"/>
  <c r="H41" i="4"/>
  <c r="I41" i="4"/>
  <c r="C41" i="4"/>
  <c r="D32" i="4"/>
  <c r="E32" i="4"/>
  <c r="F32" i="4"/>
  <c r="G32" i="4"/>
  <c r="H32" i="4"/>
  <c r="I32" i="4"/>
  <c r="C32" i="4"/>
  <c r="D13" i="4"/>
  <c r="E13" i="4"/>
  <c r="F13" i="4"/>
  <c r="G13" i="4"/>
  <c r="H13" i="4"/>
  <c r="I13" i="4"/>
  <c r="C13" i="4"/>
  <c r="D41" i="3"/>
  <c r="E41" i="3"/>
  <c r="F41" i="3"/>
  <c r="G41" i="3"/>
  <c r="H41" i="3"/>
  <c r="I41" i="3"/>
  <c r="C41" i="3"/>
  <c r="D32" i="3"/>
  <c r="E32" i="3"/>
  <c r="F32" i="3"/>
  <c r="G32" i="3"/>
  <c r="H32" i="3"/>
  <c r="I32" i="3"/>
  <c r="C32" i="3"/>
  <c r="D23" i="3"/>
  <c r="E23" i="3"/>
  <c r="F23" i="3"/>
  <c r="G23" i="3"/>
  <c r="H23" i="3"/>
  <c r="I23" i="3"/>
  <c r="C23" i="3"/>
  <c r="D40" i="1"/>
  <c r="E40" i="1"/>
  <c r="F40" i="1"/>
  <c r="G40" i="1"/>
  <c r="H40" i="1"/>
  <c r="I40" i="1"/>
  <c r="C40" i="1"/>
  <c r="D31" i="1"/>
  <c r="E31" i="1"/>
  <c r="F31" i="1"/>
  <c r="G31" i="1"/>
  <c r="H31" i="1"/>
  <c r="I31" i="1"/>
  <c r="C31" i="1"/>
  <c r="D22" i="1"/>
  <c r="E22" i="1"/>
  <c r="F22" i="1"/>
  <c r="G22" i="1"/>
  <c r="H22" i="1"/>
  <c r="I22" i="1"/>
  <c r="C22" i="1"/>
  <c r="D13" i="1"/>
  <c r="E13" i="1"/>
  <c r="F13" i="1"/>
  <c r="G13" i="1"/>
  <c r="H13" i="1"/>
  <c r="I13" i="1"/>
  <c r="C13" i="1"/>
</calcChain>
</file>

<file path=xl/sharedStrings.xml><?xml version="1.0" encoding="utf-8"?>
<sst xmlns="http://schemas.openxmlformats.org/spreadsheetml/2006/main" count="165" uniqueCount="34">
  <si>
    <t>Pomiar 1, ms</t>
  </si>
  <si>
    <t>Pomiar 2, ms</t>
  </si>
  <si>
    <t>Pomiar 3, ms</t>
  </si>
  <si>
    <t>Pomiar 4, ms</t>
  </si>
  <si>
    <t>Pomiar 5, ms</t>
  </si>
  <si>
    <t>Średnia, ms</t>
  </si>
  <si>
    <t>Czas całkowity, tryb ASM, S collection</t>
  </si>
  <si>
    <t>Czas dll, tryb ASM, S collection</t>
  </si>
  <si>
    <t>Wątki</t>
  </si>
  <si>
    <t>Czas całkowity, tryb CPP, S collection</t>
  </si>
  <si>
    <t>Czas dll, tryb CPP, S collection</t>
  </si>
  <si>
    <t>Czas całkowity, tryb ASM, M collection</t>
  </si>
  <si>
    <t>Czas dll, tryb ASM, M collection</t>
  </si>
  <si>
    <t>Czas całkowity, tryb CPP, M collection</t>
  </si>
  <si>
    <t>Czas dll, tryb CPP, M collection</t>
  </si>
  <si>
    <t>Czas całkowity, tryb ASM, L collection</t>
  </si>
  <si>
    <t>Czas dll, tryb ASM, L collection</t>
  </si>
  <si>
    <t>Czas całkowity, tryb CPP, L collection</t>
  </si>
  <si>
    <t>Czas dll, tryb CPP, L collection</t>
  </si>
  <si>
    <t>Czas całkowity, tryb CPP_O2, S collection</t>
  </si>
  <si>
    <t>Czas dll, tryb CPP_O2, S collection</t>
  </si>
  <si>
    <t>Czas całkowity, tryb CPP_O2, M collection</t>
  </si>
  <si>
    <t>Czas dll, tryb CPP_O2, M collection</t>
  </si>
  <si>
    <t>Czas całkowity, tryb CPP_O2, L collection</t>
  </si>
  <si>
    <t>Czas dll, tryb CPP_O2, L collection</t>
  </si>
  <si>
    <t>M -ASM</t>
  </si>
  <si>
    <t>S-ASM</t>
  </si>
  <si>
    <t>L-ASM</t>
  </si>
  <si>
    <t>S-CPP</t>
  </si>
  <si>
    <t>M-CPP</t>
  </si>
  <si>
    <t>L-CPP</t>
  </si>
  <si>
    <t>S-CPP-O2</t>
  </si>
  <si>
    <t>M-CPP-O2</t>
  </si>
  <si>
    <t>L-CPP-O2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</si>
</sst>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2" fillId="0" borderId="0" xfId="0" applyFont="1"/>
    <xf numFmtId="2" fontId="2" fillId="0" borderId="0" xfId="0" applyNumberFormat="1" applyFont="1"/>
    <xf numFmtId="0" fontId="0" fillId="0" borderId="1" xfId="0" applyBorder="1"/>
    <xf numFmtId="0" fontId="2" fillId="0" borderId="1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2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Asembler" pivot="0" count="4" xr9:uid="{5A77EC83-34DC-44D7-9E7E-5EAB290F7AEC}">
      <tableStyleElement type="wholeTable" dxfId="27"/>
      <tableStyleElement type="headerRow" dxfId="26"/>
      <tableStyleElement type="totalRow" dxfId="25"/>
      <tableStyleElement type="firstColumn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ASM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S!$C$7:$I$7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S!$C$13:$I$13</c:f>
              <c:numCache>
                <c:formatCode>General</c:formatCode>
                <c:ptCount val="7"/>
                <c:pt idx="0">
                  <c:v>13531.8</c:v>
                </c:pt>
                <c:pt idx="1">
                  <c:v>8582.5360000000001</c:v>
                </c:pt>
                <c:pt idx="2">
                  <c:v>8465.5239999999994</c:v>
                </c:pt>
                <c:pt idx="3">
                  <c:v>6083.9359999999997</c:v>
                </c:pt>
                <c:pt idx="4">
                  <c:v>5987.9059999999999</c:v>
                </c:pt>
                <c:pt idx="5">
                  <c:v>5958.9400000000005</c:v>
                </c:pt>
                <c:pt idx="6">
                  <c:v>6319.4539999999997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F9-4B36-AC37-5A4A972434D6}"/>
            </c:ext>
          </c:extLst>
        </c:ser>
        <c:ser>
          <c:idx val="1"/>
          <c:order val="1"/>
          <c:tx>
            <c:v>CPP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S!$C$7:$I$7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S!$C$31:$I$31</c:f>
              <c:numCache>
                <c:formatCode>General</c:formatCode>
                <c:ptCount val="7"/>
                <c:pt idx="0">
                  <c:v>12608.26</c:v>
                </c:pt>
                <c:pt idx="1">
                  <c:v>8089.3900000000012</c:v>
                </c:pt>
                <c:pt idx="2">
                  <c:v>7900.45</c:v>
                </c:pt>
                <c:pt idx="3">
                  <c:v>6133.1540000000005</c:v>
                </c:pt>
                <c:pt idx="4">
                  <c:v>6407.9760000000006</c:v>
                </c:pt>
                <c:pt idx="5">
                  <c:v>6128.9619999999995</c:v>
                </c:pt>
                <c:pt idx="6">
                  <c:v>6164.1380000000008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F9-4B36-AC37-5A4A972434D6}"/>
            </c:ext>
          </c:extLst>
        </c:ser>
        <c:ser>
          <c:idx val="2"/>
          <c:order val="2"/>
          <c:tx>
            <c:v>CPP-O2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S!$C$7:$I$7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S!$C$49:$I$49</c:f>
              <c:numCache>
                <c:formatCode>General</c:formatCode>
                <c:ptCount val="7"/>
                <c:pt idx="0">
                  <c:v>12348.539999999999</c:v>
                </c:pt>
                <c:pt idx="1">
                  <c:v>7730.9059999999999</c:v>
                </c:pt>
                <c:pt idx="2">
                  <c:v>7518.2860000000001</c:v>
                </c:pt>
                <c:pt idx="3">
                  <c:v>7475.3099999999995</c:v>
                </c:pt>
                <c:pt idx="4">
                  <c:v>6585.1179999999995</c:v>
                </c:pt>
                <c:pt idx="5">
                  <c:v>5778.6180000000004</c:v>
                </c:pt>
                <c:pt idx="6">
                  <c:v>6021.6100000000006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F9-4B36-AC37-5A4A97243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5720576"/>
        <c:axId val="1785737376"/>
      </c:barChart>
      <c:catAx>
        <c:axId val="178572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wątków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37376"/>
        <c:crosses val="autoZero"/>
        <c:auto val="1"/>
        <c:lblAlgn val="ctr"/>
        <c:lblOffset val="100"/>
        <c:noMultiLvlLbl val="1"/>
      </c:catAx>
      <c:valAx>
        <c:axId val="1785737376"/>
        <c:scaling>
          <c:orientation val="minMax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wykonania, 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2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ASM DLL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S!$C$7:$I$7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S!$C$22:$I$22</c:f>
              <c:numCache>
                <c:formatCode>General</c:formatCode>
                <c:ptCount val="7"/>
                <c:pt idx="0">
                  <c:v>0.60538000000000003</c:v>
                </c:pt>
                <c:pt idx="1">
                  <c:v>0.88941999999999999</c:v>
                </c:pt>
                <c:pt idx="2">
                  <c:v>1.2304199999999998</c:v>
                </c:pt>
                <c:pt idx="3">
                  <c:v>1.1334399999999998</c:v>
                </c:pt>
                <c:pt idx="4">
                  <c:v>1.6110399999999998</c:v>
                </c:pt>
                <c:pt idx="5">
                  <c:v>1.4370799999999999</c:v>
                </c:pt>
                <c:pt idx="6">
                  <c:v>3.4492199999999995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5-44C8-AAE0-81BFD4F83E2F}"/>
            </c:ext>
          </c:extLst>
        </c:ser>
        <c:ser>
          <c:idx val="2"/>
          <c:order val="1"/>
          <c:tx>
            <c:v>CPP-O2 DLL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S!$C$7:$I$7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S!$C$58:$I$58</c:f>
              <c:numCache>
                <c:formatCode>General</c:formatCode>
                <c:ptCount val="7"/>
                <c:pt idx="0">
                  <c:v>0.76937999999999995</c:v>
                </c:pt>
                <c:pt idx="1">
                  <c:v>0.86899999999999999</c:v>
                </c:pt>
                <c:pt idx="2">
                  <c:v>1.67334</c:v>
                </c:pt>
                <c:pt idx="3">
                  <c:v>1.2407599999999999</c:v>
                </c:pt>
                <c:pt idx="4">
                  <c:v>1.83996</c:v>
                </c:pt>
                <c:pt idx="5">
                  <c:v>1.7889600000000001</c:v>
                </c:pt>
                <c:pt idx="6">
                  <c:v>2.2044799999999998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45-44C8-AAE0-81BFD4F83E2F}"/>
            </c:ext>
          </c:extLst>
        </c:ser>
        <c:ser>
          <c:idx val="1"/>
          <c:order val="2"/>
          <c:tx>
            <c:v>CPP DLL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S!$C$7:$I$7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S!$C$40:$I$40</c:f>
              <c:numCache>
                <c:formatCode>General</c:formatCode>
                <c:ptCount val="7"/>
                <c:pt idx="0">
                  <c:v>8.6866599999999998</c:v>
                </c:pt>
                <c:pt idx="1">
                  <c:v>8.12988</c:v>
                </c:pt>
                <c:pt idx="2">
                  <c:v>17.754420000000003</c:v>
                </c:pt>
                <c:pt idx="3">
                  <c:v>30.497839999999997</c:v>
                </c:pt>
                <c:pt idx="4">
                  <c:v>30.01596</c:v>
                </c:pt>
                <c:pt idx="5">
                  <c:v>30.447319999999998</c:v>
                </c:pt>
                <c:pt idx="6">
                  <c:v>46.975239999999999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45-44C8-AAE0-81BFD4F83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85754656"/>
        <c:axId val="1785755616"/>
      </c:barChart>
      <c:catAx>
        <c:axId val="1785754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wątków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55616"/>
        <c:crosses val="autoZero"/>
        <c:auto val="1"/>
        <c:lblAlgn val="ctr"/>
        <c:lblOffset val="100"/>
        <c:noMultiLvlLbl val="0"/>
      </c:catAx>
      <c:valAx>
        <c:axId val="17857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wykonania, 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5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Całkowity_czas!$A$2</c:f>
              <c:strCache>
                <c:ptCount val="1"/>
                <c:pt idx="0">
                  <c:v>S-ASM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Całkowity_czas!$B$1:$H$1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Całkowity_czas!$B$2:$H$2</c:f>
              <c:numCache>
                <c:formatCode>General</c:formatCode>
                <c:ptCount val="7"/>
                <c:pt idx="0">
                  <c:v>13531.8</c:v>
                </c:pt>
                <c:pt idx="1">
                  <c:v>8582.5360000000001</c:v>
                </c:pt>
                <c:pt idx="2">
                  <c:v>8465.5239999999994</c:v>
                </c:pt>
                <c:pt idx="3">
                  <c:v>6083.9359999999997</c:v>
                </c:pt>
                <c:pt idx="4">
                  <c:v>5987.9059999999999</c:v>
                </c:pt>
                <c:pt idx="5">
                  <c:v>5958.9400000000005</c:v>
                </c:pt>
                <c:pt idx="6">
                  <c:v>6319.4539999999997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0D-4F0B-9224-F7755E4DE6F7}"/>
            </c:ext>
          </c:extLst>
        </c:ser>
        <c:ser>
          <c:idx val="6"/>
          <c:order val="1"/>
          <c:tx>
            <c:strRef>
              <c:f>Całkowity_czas!$A$3</c:f>
              <c:strCache>
                <c:ptCount val="1"/>
                <c:pt idx="0">
                  <c:v>S-CPP-O2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Całkowity_czas!$B$1:$H$1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Całkowity_czas!$B$3:$H$3</c:f>
              <c:numCache>
                <c:formatCode>General</c:formatCode>
                <c:ptCount val="7"/>
                <c:pt idx="0">
                  <c:v>12348.539999999999</c:v>
                </c:pt>
                <c:pt idx="1">
                  <c:v>7730.9059999999999</c:v>
                </c:pt>
                <c:pt idx="2">
                  <c:v>7518.2860000000001</c:v>
                </c:pt>
                <c:pt idx="3">
                  <c:v>7475.3099999999995</c:v>
                </c:pt>
                <c:pt idx="4">
                  <c:v>6585.1179999999995</c:v>
                </c:pt>
                <c:pt idx="5">
                  <c:v>5778.6180000000004</c:v>
                </c:pt>
                <c:pt idx="6">
                  <c:v>6021.6100000000006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0D-4F0B-9224-F7755E4DE6F7}"/>
            </c:ext>
          </c:extLst>
        </c:ser>
        <c:ser>
          <c:idx val="3"/>
          <c:order val="2"/>
          <c:tx>
            <c:strRef>
              <c:f>Całkowity_czas!$A$4</c:f>
              <c:strCache>
                <c:ptCount val="1"/>
                <c:pt idx="0">
                  <c:v>S-CPP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Całkowity_czas!$B$1:$H$1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Całkowity_czas!$B$4:$H$4</c:f>
              <c:numCache>
                <c:formatCode>General</c:formatCode>
                <c:ptCount val="7"/>
                <c:pt idx="0">
                  <c:v>12608.26</c:v>
                </c:pt>
                <c:pt idx="1">
                  <c:v>8089.3900000000012</c:v>
                </c:pt>
                <c:pt idx="2">
                  <c:v>7900.45</c:v>
                </c:pt>
                <c:pt idx="3">
                  <c:v>6133.1540000000005</c:v>
                </c:pt>
                <c:pt idx="4">
                  <c:v>6407.9760000000006</c:v>
                </c:pt>
                <c:pt idx="5">
                  <c:v>6128.9619999999995</c:v>
                </c:pt>
                <c:pt idx="6">
                  <c:v>6164.1380000000008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0D-4F0B-9224-F7755E4DE6F7}"/>
            </c:ext>
          </c:extLst>
        </c:ser>
        <c:ser>
          <c:idx val="1"/>
          <c:order val="3"/>
          <c:tx>
            <c:strRef>
              <c:f>Całkowity_czas!$A$5</c:f>
              <c:strCache>
                <c:ptCount val="1"/>
                <c:pt idx="0">
                  <c:v>M -ASM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Całkowity_czas!$B$1:$H$1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Całkowity_czas!$B$5:$H$5</c:f>
              <c:numCache>
                <c:formatCode>General</c:formatCode>
                <c:ptCount val="7"/>
                <c:pt idx="0">
                  <c:v>52931.007799999999</c:v>
                </c:pt>
                <c:pt idx="1">
                  <c:v>34704.591</c:v>
                </c:pt>
                <c:pt idx="2">
                  <c:v>25053.046000000002</c:v>
                </c:pt>
                <c:pt idx="3">
                  <c:v>21377.662800000002</c:v>
                </c:pt>
                <c:pt idx="4">
                  <c:v>20891.939600000002</c:v>
                </c:pt>
                <c:pt idx="5">
                  <c:v>17328.7572</c:v>
                </c:pt>
                <c:pt idx="6">
                  <c:v>19751.7762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0D-4F0B-9224-F7755E4DE6F7}"/>
            </c:ext>
          </c:extLst>
        </c:ser>
        <c:ser>
          <c:idx val="7"/>
          <c:order val="4"/>
          <c:tx>
            <c:strRef>
              <c:f>Całkowity_czas!$A$6</c:f>
              <c:strCache>
                <c:ptCount val="1"/>
                <c:pt idx="0">
                  <c:v>M-CPP-O2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Całkowity_czas!$B$1:$H$1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Całkowity_czas!$B$6:$H$6</c:f>
              <c:numCache>
                <c:formatCode>General</c:formatCode>
                <c:ptCount val="7"/>
                <c:pt idx="0">
                  <c:v>59952.659999999996</c:v>
                </c:pt>
                <c:pt idx="1">
                  <c:v>34914.980000000003</c:v>
                </c:pt>
                <c:pt idx="2">
                  <c:v>28794.1</c:v>
                </c:pt>
                <c:pt idx="3">
                  <c:v>24459.96</c:v>
                </c:pt>
                <c:pt idx="4">
                  <c:v>22425.440000000002</c:v>
                </c:pt>
                <c:pt idx="5">
                  <c:v>18258.340000000004</c:v>
                </c:pt>
                <c:pt idx="6">
                  <c:v>18270.579999999998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0D-4F0B-9224-F7755E4DE6F7}"/>
            </c:ext>
          </c:extLst>
        </c:ser>
        <c:ser>
          <c:idx val="4"/>
          <c:order val="5"/>
          <c:tx>
            <c:strRef>
              <c:f>Całkowity_czas!$A$7</c:f>
              <c:strCache>
                <c:ptCount val="1"/>
                <c:pt idx="0">
                  <c:v>M-CPP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Całkowity_czas!$B$1:$H$1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Całkowity_czas!$B$7:$H$7</c:f>
              <c:numCache>
                <c:formatCode>General</c:formatCode>
                <c:ptCount val="7"/>
                <c:pt idx="0">
                  <c:v>56955.636400000003</c:v>
                </c:pt>
                <c:pt idx="1">
                  <c:v>35055.438399999999</c:v>
                </c:pt>
                <c:pt idx="2">
                  <c:v>26734.458399999996</c:v>
                </c:pt>
                <c:pt idx="3">
                  <c:v>26000.990400000002</c:v>
                </c:pt>
                <c:pt idx="4">
                  <c:v>22245.879399999998</c:v>
                </c:pt>
                <c:pt idx="5">
                  <c:v>20754.291000000005</c:v>
                </c:pt>
                <c:pt idx="6">
                  <c:v>17014.813199999997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0D-4F0B-9224-F7755E4DE6F7}"/>
            </c:ext>
          </c:extLst>
        </c:ser>
        <c:ser>
          <c:idx val="2"/>
          <c:order val="6"/>
          <c:tx>
            <c:strRef>
              <c:f>Całkowity_czas!$A$8</c:f>
              <c:strCache>
                <c:ptCount val="1"/>
                <c:pt idx="0">
                  <c:v>L-ASM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Całkowity_czas!$B$1:$H$1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Całkowity_czas!$B$8:$H$8</c:f>
              <c:numCache>
                <c:formatCode>General</c:formatCode>
                <c:ptCount val="7"/>
                <c:pt idx="0">
                  <c:v>92563.38</c:v>
                </c:pt>
                <c:pt idx="1">
                  <c:v>70215.100000000006</c:v>
                </c:pt>
                <c:pt idx="2">
                  <c:v>52480.279999999992</c:v>
                </c:pt>
                <c:pt idx="3">
                  <c:v>39809.899999999994</c:v>
                </c:pt>
                <c:pt idx="4">
                  <c:v>37926.619999999995</c:v>
                </c:pt>
                <c:pt idx="5">
                  <c:v>35691.659999999996</c:v>
                </c:pt>
                <c:pt idx="6">
                  <c:v>29108.5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0D-4F0B-9224-F7755E4DE6F7}"/>
            </c:ext>
          </c:extLst>
        </c:ser>
        <c:ser>
          <c:idx val="8"/>
          <c:order val="7"/>
          <c:tx>
            <c:strRef>
              <c:f>Całkowity_czas!$A$9</c:f>
              <c:strCache>
                <c:ptCount val="1"/>
                <c:pt idx="0">
                  <c:v>L-CPP-O2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Całkowity_czas!$B$1:$H$1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Całkowity_czas!$B$9:$H$9</c:f>
              <c:numCache>
                <c:formatCode>General</c:formatCode>
                <c:ptCount val="7"/>
                <c:pt idx="0">
                  <c:v>101017.7</c:v>
                </c:pt>
                <c:pt idx="1">
                  <c:v>71757.8</c:v>
                </c:pt>
                <c:pt idx="2">
                  <c:v>53502.400000000001</c:v>
                </c:pt>
                <c:pt idx="3">
                  <c:v>44453.320000000007</c:v>
                </c:pt>
                <c:pt idx="4">
                  <c:v>35554.44</c:v>
                </c:pt>
                <c:pt idx="5">
                  <c:v>35924.119999999995</c:v>
                </c:pt>
                <c:pt idx="6">
                  <c:v>33438.36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0D-4F0B-9224-F7755E4DE6F7}"/>
            </c:ext>
          </c:extLst>
        </c:ser>
        <c:ser>
          <c:idx val="5"/>
          <c:order val="8"/>
          <c:tx>
            <c:strRef>
              <c:f>Całkowity_czas!$A$10</c:f>
              <c:strCache>
                <c:ptCount val="1"/>
                <c:pt idx="0">
                  <c:v>L-CPP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Całkowity_czas!$B$1:$H$1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Całkowity_czas!$B$10:$H$10</c:f>
              <c:numCache>
                <c:formatCode>General</c:formatCode>
                <c:ptCount val="7"/>
                <c:pt idx="0">
                  <c:v>134849.4</c:v>
                </c:pt>
                <c:pt idx="1">
                  <c:v>92525.5</c:v>
                </c:pt>
                <c:pt idx="2">
                  <c:v>54263.040000000001</c:v>
                </c:pt>
                <c:pt idx="3">
                  <c:v>42417.08</c:v>
                </c:pt>
                <c:pt idx="4">
                  <c:v>36506.619999999995</c:v>
                </c:pt>
                <c:pt idx="5">
                  <c:v>33718.800000000003</c:v>
                </c:pt>
                <c:pt idx="6">
                  <c:v>33234.06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0D-4F0B-9224-F7755E4DE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64684016"/>
        <c:axId val="264691216"/>
      </c:barChart>
      <c:catAx>
        <c:axId val="264684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wątków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691216"/>
        <c:crosses val="autoZero"/>
        <c:auto val="1"/>
        <c:lblAlgn val="ctr"/>
        <c:lblOffset val="100"/>
        <c:noMultiLvlLbl val="0"/>
      </c:catAx>
      <c:valAx>
        <c:axId val="26469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wykonania, 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68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ASM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M!$C$7:$I$7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M!$C$13:$I$13</c:f>
              <c:numCache>
                <c:formatCode>0.00</c:formatCode>
                <c:ptCount val="7"/>
                <c:pt idx="0">
                  <c:v>52931.007799999999</c:v>
                </c:pt>
                <c:pt idx="1">
                  <c:v>34704.591</c:v>
                </c:pt>
                <c:pt idx="2">
                  <c:v>25053.046000000002</c:v>
                </c:pt>
                <c:pt idx="3">
                  <c:v>21377.662800000002</c:v>
                </c:pt>
                <c:pt idx="4">
                  <c:v>20891.939600000002</c:v>
                </c:pt>
                <c:pt idx="5">
                  <c:v>17328.7572</c:v>
                </c:pt>
                <c:pt idx="6">
                  <c:v>19751.7762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C5A-4A92-A7BF-8C68FBA269A8}"/>
            </c:ext>
          </c:extLst>
        </c:ser>
        <c:ser>
          <c:idx val="1"/>
          <c:order val="1"/>
          <c:tx>
            <c:v>CPP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M!$C$7:$I$7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M!$C$32:$I$32</c:f>
              <c:numCache>
                <c:formatCode>General</c:formatCode>
                <c:ptCount val="7"/>
                <c:pt idx="0">
                  <c:v>56955.636400000003</c:v>
                </c:pt>
                <c:pt idx="1">
                  <c:v>35055.438399999999</c:v>
                </c:pt>
                <c:pt idx="2">
                  <c:v>26734.458399999996</c:v>
                </c:pt>
                <c:pt idx="3">
                  <c:v>26000.990400000002</c:v>
                </c:pt>
                <c:pt idx="4">
                  <c:v>22245.879399999998</c:v>
                </c:pt>
                <c:pt idx="5">
                  <c:v>20754.291000000005</c:v>
                </c:pt>
                <c:pt idx="6">
                  <c:v>17014.813199999997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C5A-4A92-A7BF-8C68FBA269A8}"/>
            </c:ext>
          </c:extLst>
        </c:ser>
        <c:ser>
          <c:idx val="2"/>
          <c:order val="2"/>
          <c:tx>
            <c:v>CPP-O2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M!$C$7:$I$7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M!$C$50:$I$50</c:f>
              <c:numCache>
                <c:formatCode>General</c:formatCode>
                <c:ptCount val="7"/>
                <c:pt idx="0">
                  <c:v>59952.659999999996</c:v>
                </c:pt>
                <c:pt idx="1">
                  <c:v>34914.980000000003</c:v>
                </c:pt>
                <c:pt idx="2">
                  <c:v>28794.1</c:v>
                </c:pt>
                <c:pt idx="3">
                  <c:v>24459.96</c:v>
                </c:pt>
                <c:pt idx="4">
                  <c:v>22425.440000000002</c:v>
                </c:pt>
                <c:pt idx="5">
                  <c:v>18258.340000000004</c:v>
                </c:pt>
                <c:pt idx="6">
                  <c:v>18270.579999999998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C5A-4A92-A7BF-8C68FBA26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3111984"/>
        <c:axId val="1293112464"/>
      </c:barChart>
      <c:catAx>
        <c:axId val="129311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wątków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112464"/>
        <c:crosses val="autoZero"/>
        <c:auto val="1"/>
        <c:lblAlgn val="ctr"/>
        <c:lblOffset val="100"/>
        <c:noMultiLvlLbl val="1"/>
      </c:catAx>
      <c:valAx>
        <c:axId val="1293112464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wykonania, 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11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ASM DLL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M!$C$17:$I$17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M!$C$23:$I$23</c:f>
              <c:numCache>
                <c:formatCode>General</c:formatCode>
                <c:ptCount val="7"/>
                <c:pt idx="0">
                  <c:v>1.7931999999999999</c:v>
                </c:pt>
                <c:pt idx="1">
                  <c:v>2.3322000000000003</c:v>
                </c:pt>
                <c:pt idx="2">
                  <c:v>4.8094000000000001</c:v>
                </c:pt>
                <c:pt idx="3">
                  <c:v>4.6130000000000004</c:v>
                </c:pt>
                <c:pt idx="4">
                  <c:v>4.5909999999999993</c:v>
                </c:pt>
                <c:pt idx="5">
                  <c:v>5.5115999999999996</c:v>
                </c:pt>
                <c:pt idx="6">
                  <c:v>5.7767999999999997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3-43D1-9F4C-53D6647A61CC}"/>
            </c:ext>
          </c:extLst>
        </c:ser>
        <c:ser>
          <c:idx val="1"/>
          <c:order val="1"/>
          <c:tx>
            <c:v>CPP-O2 DLL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M!$C$17:$I$17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M!$C$59:$I$59</c:f>
              <c:numCache>
                <c:formatCode>General</c:formatCode>
                <c:ptCount val="7"/>
                <c:pt idx="0">
                  <c:v>2.68716</c:v>
                </c:pt>
                <c:pt idx="1">
                  <c:v>3.1735600000000002</c:v>
                </c:pt>
                <c:pt idx="2">
                  <c:v>5.2031599999999996</c:v>
                </c:pt>
                <c:pt idx="3">
                  <c:v>5.4901600000000004</c:v>
                </c:pt>
                <c:pt idx="4">
                  <c:v>6.8077799999999993</c:v>
                </c:pt>
                <c:pt idx="5">
                  <c:v>5.78782</c:v>
                </c:pt>
                <c:pt idx="6">
                  <c:v>6.1817200000000003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F3-43D1-9F4C-53D6647A61CC}"/>
            </c:ext>
          </c:extLst>
        </c:ser>
        <c:ser>
          <c:idx val="2"/>
          <c:order val="2"/>
          <c:tx>
            <c:v>CPP DLL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M!$C$17:$I$17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M!$C$41:$I$41</c:f>
              <c:numCache>
                <c:formatCode>General</c:formatCode>
                <c:ptCount val="7"/>
                <c:pt idx="0">
                  <c:v>26.601999999999997</c:v>
                </c:pt>
                <c:pt idx="1">
                  <c:v>30.159199999999998</c:v>
                </c:pt>
                <c:pt idx="2">
                  <c:v>102.09540000000001</c:v>
                </c:pt>
                <c:pt idx="3">
                  <c:v>122.96799999999999</c:v>
                </c:pt>
                <c:pt idx="4">
                  <c:v>132.62359999999998</c:v>
                </c:pt>
                <c:pt idx="5">
                  <c:v>118.6362</c:v>
                </c:pt>
                <c:pt idx="6">
                  <c:v>98.034599999999998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F3-43D1-9F4C-53D6647A6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85709696"/>
        <c:axId val="1585709216"/>
      </c:barChart>
      <c:catAx>
        <c:axId val="1585709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wątków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709216"/>
        <c:crosses val="autoZero"/>
        <c:auto val="1"/>
        <c:lblAlgn val="ctr"/>
        <c:lblOffset val="100"/>
        <c:noMultiLvlLbl val="0"/>
      </c:catAx>
      <c:valAx>
        <c:axId val="158570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 wykonania, 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70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CPP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L!$C$7:$I$7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L!$C$32:$I$32</c:f>
              <c:numCache>
                <c:formatCode>General</c:formatCode>
                <c:ptCount val="7"/>
                <c:pt idx="0">
                  <c:v>134849.4</c:v>
                </c:pt>
                <c:pt idx="1">
                  <c:v>92525.5</c:v>
                </c:pt>
                <c:pt idx="2">
                  <c:v>54263.040000000001</c:v>
                </c:pt>
                <c:pt idx="3">
                  <c:v>42417.08</c:v>
                </c:pt>
                <c:pt idx="4">
                  <c:v>36506.619999999995</c:v>
                </c:pt>
                <c:pt idx="5">
                  <c:v>33718.800000000003</c:v>
                </c:pt>
                <c:pt idx="6">
                  <c:v>33234.06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2-4382-BD63-556ACAAE82E6}"/>
            </c:ext>
          </c:extLst>
        </c:ser>
        <c:ser>
          <c:idx val="1"/>
          <c:order val="1"/>
          <c:tx>
            <c:v>CPP-O2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L!$C$17:$I$17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L!$C$50:$I$50</c:f>
              <c:numCache>
                <c:formatCode>General</c:formatCode>
                <c:ptCount val="7"/>
                <c:pt idx="0">
                  <c:v>101017.7</c:v>
                </c:pt>
                <c:pt idx="1">
                  <c:v>71757.8</c:v>
                </c:pt>
                <c:pt idx="2">
                  <c:v>53502.400000000001</c:v>
                </c:pt>
                <c:pt idx="3">
                  <c:v>44453.320000000007</c:v>
                </c:pt>
                <c:pt idx="4">
                  <c:v>35554.44</c:v>
                </c:pt>
                <c:pt idx="5">
                  <c:v>35924.119999999995</c:v>
                </c:pt>
                <c:pt idx="6">
                  <c:v>33438.36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F2-4382-BD63-556ACAAE82E6}"/>
            </c:ext>
          </c:extLst>
        </c:ser>
        <c:ser>
          <c:idx val="2"/>
          <c:order val="2"/>
          <c:tx>
            <c:v>ASM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L!$C$7:$I$7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L!$C$13:$I$13</c:f>
              <c:numCache>
                <c:formatCode>0.00</c:formatCode>
                <c:ptCount val="7"/>
                <c:pt idx="0">
                  <c:v>92563.38</c:v>
                </c:pt>
                <c:pt idx="1">
                  <c:v>70215.100000000006</c:v>
                </c:pt>
                <c:pt idx="2">
                  <c:v>52480.279999999992</c:v>
                </c:pt>
                <c:pt idx="3">
                  <c:v>39809.899999999994</c:v>
                </c:pt>
                <c:pt idx="4">
                  <c:v>37926.619999999995</c:v>
                </c:pt>
                <c:pt idx="5">
                  <c:v>35691.659999999996</c:v>
                </c:pt>
                <c:pt idx="6">
                  <c:v>29108.5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F2-4382-BD63-556ACAAE8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5675616"/>
        <c:axId val="1585671776"/>
      </c:barChart>
      <c:catAx>
        <c:axId val="158567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wątków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671776"/>
        <c:crosses val="autoZero"/>
        <c:auto val="1"/>
        <c:lblAlgn val="ctr"/>
        <c:lblOffset val="100"/>
        <c:noMultiLvlLbl val="1"/>
      </c:catAx>
      <c:valAx>
        <c:axId val="1585671776"/>
        <c:scaling>
          <c:orientation val="minMax"/>
          <c:min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wykonania, 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67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ASM DLL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L!$C$7:$I$7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L!$C$23:$I$23</c:f>
              <c:numCache>
                <c:formatCode>General</c:formatCode>
                <c:ptCount val="7"/>
                <c:pt idx="0">
                  <c:v>4.4726999999999997</c:v>
                </c:pt>
                <c:pt idx="1">
                  <c:v>5.3266</c:v>
                </c:pt>
                <c:pt idx="2">
                  <c:v>7.309400000000001</c:v>
                </c:pt>
                <c:pt idx="3">
                  <c:v>11.169599999999999</c:v>
                </c:pt>
                <c:pt idx="4">
                  <c:v>12.402620000000001</c:v>
                </c:pt>
                <c:pt idx="5">
                  <c:v>11.153880000000001</c:v>
                </c:pt>
                <c:pt idx="6">
                  <c:v>11.27338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D7C-4ED9-B90D-3AD4BCB76F3D}"/>
            </c:ext>
          </c:extLst>
        </c:ser>
        <c:ser>
          <c:idx val="1"/>
          <c:order val="1"/>
          <c:tx>
            <c:v>CPP-O2 DLL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L!$C$59:$I$59</c:f>
              <c:numCache>
                <c:formatCode>General</c:formatCode>
                <c:ptCount val="7"/>
                <c:pt idx="0">
                  <c:v>5.4794</c:v>
                </c:pt>
                <c:pt idx="1">
                  <c:v>7.2748200000000001</c:v>
                </c:pt>
                <c:pt idx="2">
                  <c:v>8.5843999999999987</c:v>
                </c:pt>
                <c:pt idx="3">
                  <c:v>11.951780000000001</c:v>
                </c:pt>
                <c:pt idx="4">
                  <c:v>12.419219999999999</c:v>
                </c:pt>
                <c:pt idx="5">
                  <c:v>12.08774</c:v>
                </c:pt>
                <c:pt idx="6">
                  <c:v>12.6081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7C-4ED9-B90D-3AD4BCB76F3D}"/>
            </c:ext>
          </c:extLst>
        </c:ser>
        <c:ser>
          <c:idx val="2"/>
          <c:order val="2"/>
          <c:tx>
            <c:v>CPP DLL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L!$C$41:$I$41</c:f>
              <c:numCache>
                <c:formatCode>General</c:formatCode>
                <c:ptCount val="7"/>
                <c:pt idx="0">
                  <c:v>78.192579999999992</c:v>
                </c:pt>
                <c:pt idx="1">
                  <c:v>98.121800000000007</c:v>
                </c:pt>
                <c:pt idx="2">
                  <c:v>94.331540000000004</c:v>
                </c:pt>
                <c:pt idx="3">
                  <c:v>160.58520000000001</c:v>
                </c:pt>
                <c:pt idx="4">
                  <c:v>274.15600000000001</c:v>
                </c:pt>
                <c:pt idx="5">
                  <c:v>310.5752</c:v>
                </c:pt>
                <c:pt idx="6">
                  <c:v>654.14239999999995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D7C-4ED9-B90D-3AD4BCB76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85822816"/>
        <c:axId val="1785817056"/>
      </c:barChart>
      <c:catAx>
        <c:axId val="1785822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wątków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817056"/>
        <c:crosses val="autoZero"/>
        <c:auto val="1"/>
        <c:lblAlgn val="ctr"/>
        <c:lblOffset val="100"/>
        <c:noMultiLvlLbl val="0"/>
      </c:catAx>
      <c:valAx>
        <c:axId val="178581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wykonania, 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82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Czas_dll!$A$2</c:f>
              <c:strCache>
                <c:ptCount val="1"/>
                <c:pt idx="0">
                  <c:v>S-ASM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Czas_dll!$B$1:$H$1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Czas_dll!$B$2:$H$2</c:f>
              <c:numCache>
                <c:formatCode>General</c:formatCode>
                <c:ptCount val="7"/>
                <c:pt idx="0">
                  <c:v>0.60538000000000003</c:v>
                </c:pt>
                <c:pt idx="1">
                  <c:v>0.88941999999999999</c:v>
                </c:pt>
                <c:pt idx="2">
                  <c:v>1.2304199999999998</c:v>
                </c:pt>
                <c:pt idx="3">
                  <c:v>1.1334399999999998</c:v>
                </c:pt>
                <c:pt idx="4">
                  <c:v>1.6110399999999998</c:v>
                </c:pt>
                <c:pt idx="5">
                  <c:v>1.4370799999999999</c:v>
                </c:pt>
                <c:pt idx="6">
                  <c:v>3.4492199999999995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3-4A2D-8B4C-100D0355E50B}"/>
            </c:ext>
          </c:extLst>
        </c:ser>
        <c:ser>
          <c:idx val="1"/>
          <c:order val="1"/>
          <c:tx>
            <c:strRef>
              <c:f>Czas_dll!$A$3</c:f>
              <c:strCache>
                <c:ptCount val="1"/>
                <c:pt idx="0">
                  <c:v>S-CPP-O2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Czas_dll!$B$1:$H$1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Czas_dll!$B$3:$H$3</c:f>
              <c:numCache>
                <c:formatCode>General</c:formatCode>
                <c:ptCount val="7"/>
                <c:pt idx="0">
                  <c:v>0.76937999999999995</c:v>
                </c:pt>
                <c:pt idx="1">
                  <c:v>0.86899999999999999</c:v>
                </c:pt>
                <c:pt idx="2">
                  <c:v>1.67334</c:v>
                </c:pt>
                <c:pt idx="3">
                  <c:v>1.2407599999999999</c:v>
                </c:pt>
                <c:pt idx="4">
                  <c:v>1.83996</c:v>
                </c:pt>
                <c:pt idx="5">
                  <c:v>1.7889600000000001</c:v>
                </c:pt>
                <c:pt idx="6">
                  <c:v>2.2044799999999998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C3-4A2D-8B4C-100D0355E50B}"/>
            </c:ext>
          </c:extLst>
        </c:ser>
        <c:ser>
          <c:idx val="2"/>
          <c:order val="2"/>
          <c:tx>
            <c:strRef>
              <c:f>Czas_dll!$A$4</c:f>
              <c:strCache>
                <c:ptCount val="1"/>
                <c:pt idx="0">
                  <c:v>M -ASM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Czas_dll!$B$1:$H$1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Czas_dll!$B$4:$H$4</c:f>
              <c:numCache>
                <c:formatCode>General</c:formatCode>
                <c:ptCount val="7"/>
                <c:pt idx="0">
                  <c:v>1.7931999999999999</c:v>
                </c:pt>
                <c:pt idx="1">
                  <c:v>2.3322000000000003</c:v>
                </c:pt>
                <c:pt idx="2">
                  <c:v>4.8094000000000001</c:v>
                </c:pt>
                <c:pt idx="3">
                  <c:v>4.6130000000000004</c:v>
                </c:pt>
                <c:pt idx="4">
                  <c:v>4.5909999999999993</c:v>
                </c:pt>
                <c:pt idx="5">
                  <c:v>5.5115999999999996</c:v>
                </c:pt>
                <c:pt idx="6">
                  <c:v>5.7767999999999997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C3-4A2D-8B4C-100D0355E50B}"/>
            </c:ext>
          </c:extLst>
        </c:ser>
        <c:ser>
          <c:idx val="3"/>
          <c:order val="3"/>
          <c:tx>
            <c:strRef>
              <c:f>Czas_dll!$A$5</c:f>
              <c:strCache>
                <c:ptCount val="1"/>
                <c:pt idx="0">
                  <c:v>M-CPP-O2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Czas_dll!$B$1:$H$1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Czas_dll!$B$5:$H$5</c:f>
              <c:numCache>
                <c:formatCode>General</c:formatCode>
                <c:ptCount val="7"/>
                <c:pt idx="0">
                  <c:v>2.68716</c:v>
                </c:pt>
                <c:pt idx="1">
                  <c:v>3.1735600000000002</c:v>
                </c:pt>
                <c:pt idx="2">
                  <c:v>5.2031599999999996</c:v>
                </c:pt>
                <c:pt idx="3">
                  <c:v>5.4901600000000004</c:v>
                </c:pt>
                <c:pt idx="4">
                  <c:v>6.8077799999999993</c:v>
                </c:pt>
                <c:pt idx="5">
                  <c:v>5.78782</c:v>
                </c:pt>
                <c:pt idx="6">
                  <c:v>6.1817200000000003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C3-4A2D-8B4C-100D0355E50B}"/>
            </c:ext>
          </c:extLst>
        </c:ser>
        <c:ser>
          <c:idx val="4"/>
          <c:order val="4"/>
          <c:tx>
            <c:strRef>
              <c:f>Czas_dll!$A$6</c:f>
              <c:strCache>
                <c:ptCount val="1"/>
                <c:pt idx="0">
                  <c:v>L-ASM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Czas_dll!$B$1:$H$1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Czas_dll!$B$6:$H$6</c:f>
              <c:numCache>
                <c:formatCode>General</c:formatCode>
                <c:ptCount val="7"/>
                <c:pt idx="0">
                  <c:v>4.4726999999999997</c:v>
                </c:pt>
                <c:pt idx="1">
                  <c:v>5.3266</c:v>
                </c:pt>
                <c:pt idx="2">
                  <c:v>7.309400000000001</c:v>
                </c:pt>
                <c:pt idx="3">
                  <c:v>11.169599999999999</c:v>
                </c:pt>
                <c:pt idx="4">
                  <c:v>12.402620000000001</c:v>
                </c:pt>
                <c:pt idx="5">
                  <c:v>11.153880000000001</c:v>
                </c:pt>
                <c:pt idx="6">
                  <c:v>11.27338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C3-4A2D-8B4C-100D0355E50B}"/>
            </c:ext>
          </c:extLst>
        </c:ser>
        <c:ser>
          <c:idx val="5"/>
          <c:order val="5"/>
          <c:tx>
            <c:strRef>
              <c:f>Czas_dll!$A$7</c:f>
              <c:strCache>
                <c:ptCount val="1"/>
                <c:pt idx="0">
                  <c:v>L-CPP-O2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Czas_dll!$B$1:$H$1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Czas_dll!$B$7:$H$7</c:f>
              <c:numCache>
                <c:formatCode>General</c:formatCode>
                <c:ptCount val="7"/>
                <c:pt idx="0">
                  <c:v>5.4794</c:v>
                </c:pt>
                <c:pt idx="1">
                  <c:v>7.2748200000000001</c:v>
                </c:pt>
                <c:pt idx="2">
                  <c:v>8.5843999999999987</c:v>
                </c:pt>
                <c:pt idx="3">
                  <c:v>11.951780000000001</c:v>
                </c:pt>
                <c:pt idx="4">
                  <c:v>12.419219999999999</c:v>
                </c:pt>
                <c:pt idx="5">
                  <c:v>12.08774</c:v>
                </c:pt>
                <c:pt idx="6">
                  <c:v>12.6081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C3-4A2D-8B4C-100D0355E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41469232"/>
        <c:axId val="1141458192"/>
      </c:barChart>
      <c:catAx>
        <c:axId val="1141469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wątków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458192"/>
        <c:crosses val="autoZero"/>
        <c:auto val="1"/>
        <c:lblAlgn val="ctr"/>
        <c:lblOffset val="100"/>
        <c:noMultiLvlLbl val="0"/>
      </c:catAx>
      <c:valAx>
        <c:axId val="114145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wykonania, 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46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Czas_dll!$A$11</c:f>
              <c:strCache>
                <c:ptCount val="1"/>
                <c:pt idx="0">
                  <c:v>S-CPP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Czas_dll!$B$10:$H$10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Czas_dll!$B$11:$H$11</c:f>
              <c:numCache>
                <c:formatCode>General</c:formatCode>
                <c:ptCount val="7"/>
                <c:pt idx="0">
                  <c:v>8.6866599999999998</c:v>
                </c:pt>
                <c:pt idx="1">
                  <c:v>8.12988</c:v>
                </c:pt>
                <c:pt idx="2">
                  <c:v>17.754420000000003</c:v>
                </c:pt>
                <c:pt idx="3">
                  <c:v>30.497839999999997</c:v>
                </c:pt>
                <c:pt idx="4">
                  <c:v>30.01596</c:v>
                </c:pt>
                <c:pt idx="5">
                  <c:v>30.447319999999998</c:v>
                </c:pt>
                <c:pt idx="6">
                  <c:v>46.975239999999999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E-4653-80BE-770F1D2D3DBD}"/>
            </c:ext>
          </c:extLst>
        </c:ser>
        <c:ser>
          <c:idx val="1"/>
          <c:order val="1"/>
          <c:tx>
            <c:strRef>
              <c:f>Czas_dll!$A$12</c:f>
              <c:strCache>
                <c:ptCount val="1"/>
                <c:pt idx="0">
                  <c:v>M-CPP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Czas_dll!$B$10:$H$10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Czas_dll!$B$12:$H$12</c:f>
              <c:numCache>
                <c:formatCode>General</c:formatCode>
                <c:ptCount val="7"/>
                <c:pt idx="0">
                  <c:v>26.601999999999997</c:v>
                </c:pt>
                <c:pt idx="1">
                  <c:v>30.159199999999998</c:v>
                </c:pt>
                <c:pt idx="2">
                  <c:v>102.09540000000001</c:v>
                </c:pt>
                <c:pt idx="3">
                  <c:v>122.96799999999999</c:v>
                </c:pt>
                <c:pt idx="4">
                  <c:v>132.62359999999998</c:v>
                </c:pt>
                <c:pt idx="5">
                  <c:v>118.6362</c:v>
                </c:pt>
                <c:pt idx="6">
                  <c:v>98.034599999999998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9E-4653-80BE-770F1D2D3DBD}"/>
            </c:ext>
          </c:extLst>
        </c:ser>
        <c:ser>
          <c:idx val="2"/>
          <c:order val="2"/>
          <c:tx>
            <c:strRef>
              <c:f>Czas_dll!$A$13</c:f>
              <c:strCache>
                <c:ptCount val="1"/>
                <c:pt idx="0">
                  <c:v>L-CPP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Czas_dll!$B$10:$H$10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cat>
          <c:val>
            <c:numRef>
              <c:f>Czas_dll!$B$13:$H$13</c:f>
              <c:numCache>
                <c:formatCode>General</c:formatCode>
                <c:ptCount val="7"/>
                <c:pt idx="0">
                  <c:v>78.192579999999992</c:v>
                </c:pt>
                <c:pt idx="1">
                  <c:v>98.121800000000007</c:v>
                </c:pt>
                <c:pt idx="2">
                  <c:v>94.331540000000004</c:v>
                </c:pt>
                <c:pt idx="3">
                  <c:v>160.58520000000001</c:v>
                </c:pt>
                <c:pt idx="4">
                  <c:v>274.15600000000001</c:v>
                </c:pt>
                <c:pt idx="5">
                  <c:v>310.5752</c:v>
                </c:pt>
                <c:pt idx="6">
                  <c:v>654.14239999999995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9E-4653-80BE-770F1D2D3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91598880"/>
        <c:axId val="1091582560"/>
      </c:barChart>
      <c:catAx>
        <c:axId val="1091598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wątków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582560"/>
        <c:crosses val="autoZero"/>
        <c:auto val="1"/>
        <c:lblAlgn val="ctr"/>
        <c:lblOffset val="100"/>
        <c:noMultiLvlLbl val="0"/>
      </c:catAx>
      <c:valAx>
        <c:axId val="109158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wykoannia, 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59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219892</xdr:colOff>
      <xdr:row>1</xdr:row>
      <xdr:rowOff>139881</xdr:rowOff>
    </xdr:from>
    <xdr:to>
      <xdr:col>17</xdr:col>
      <xdr:colOff>522515</xdr:colOff>
      <xdr:row>16</xdr:row>
      <xdr:rowOff>139881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A39747-3E62-5A04-72D5-7F7BA42D3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205740</xdr:colOff>
      <xdr:row>17</xdr:row>
      <xdr:rowOff>133351</xdr:rowOff>
    </xdr:from>
    <xdr:to>
      <xdr:col>17</xdr:col>
      <xdr:colOff>508363</xdr:colOff>
      <xdr:row>32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19287C-5376-4655-32CE-59443476F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202809</xdr:colOff>
      <xdr:row>2</xdr:row>
      <xdr:rowOff>132764</xdr:rowOff>
    </xdr:from>
    <xdr:to>
      <xdr:col>16</xdr:col>
      <xdr:colOff>509368</xdr:colOff>
      <xdr:row>17</xdr:row>
      <xdr:rowOff>132764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E525CA-B0E6-E9D3-5339-3F79209E2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198120</xdr:colOff>
      <xdr:row>2</xdr:row>
      <xdr:rowOff>3810</xdr:rowOff>
    </xdr:from>
    <xdr:to>
      <xdr:col>16</xdr:col>
      <xdr:colOff>502920</xdr:colOff>
      <xdr:row>17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C0169B-27AF-6A27-AE99-735013954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233570</xdr:colOff>
      <xdr:row>18</xdr:row>
      <xdr:rowOff>80010</xdr:rowOff>
    </xdr:from>
    <xdr:to>
      <xdr:col>16</xdr:col>
      <xdr:colOff>538370</xdr:colOff>
      <xdr:row>33</xdr:row>
      <xdr:rowOff>80010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175A5B-6CFA-CD6C-17DC-1A2FFC0A0C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378311</xdr:colOff>
      <xdr:row>5</xdr:row>
      <xdr:rowOff>36979</xdr:rowOff>
    </xdr:from>
    <xdr:to>
      <xdr:col>18</xdr:col>
      <xdr:colOff>73511</xdr:colOff>
      <xdr:row>20</xdr:row>
      <xdr:rowOff>36980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9AC2E5-0846-9BDC-97D7-B4DD50685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398482</xdr:colOff>
      <xdr:row>21</xdr:row>
      <xdr:rowOff>152176</xdr:rowOff>
    </xdr:from>
    <xdr:to>
      <xdr:col>18</xdr:col>
      <xdr:colOff>93682</xdr:colOff>
      <xdr:row>36</xdr:row>
      <xdr:rowOff>152176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862A4F-E995-E25A-DCF2-07DA986D9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</xdr:colOff>
      <xdr:row>2</xdr:row>
      <xdr:rowOff>26670</xdr:rowOff>
    </xdr:from>
    <xdr:to>
      <xdr:col>16</xdr:col>
      <xdr:colOff>335280</xdr:colOff>
      <xdr:row>17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248F92-1099-D48D-8072-B78DB2947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274320</xdr:colOff>
      <xdr:row>13</xdr:row>
      <xdr:rowOff>140970</xdr:rowOff>
    </xdr:from>
    <xdr:to>
      <xdr:col>8</xdr:col>
      <xdr:colOff>579120</xdr:colOff>
      <xdr:row>28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5BB93B-EDCB-FFB4-A2F7-58EE96BED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6CD1D3-A3A7-45FF-B89F-C4798ACEEFCF}" name="Table3" displayName="Table3" ref="B7:I13" headerRowCount="0" totalsRowShown="0" headerRowDxfId="23">
  <tableColumns count="8">
    <tableColumn id="1" xr3:uid="{615582C1-9961-4965-9637-FEE1A5750C29}" name="Czas całkowity, tryb ASM, S collection" headerRowDxfId="22"/>
    <tableColumn id="2" xr3:uid="{4C6E6E4F-7C75-488B-A39E-EF4A891F8C14}" name="Column1" headerRowDxfId="21"/>
    <tableColumn id="3" xr3:uid="{439A1394-8ECF-44D9-BDA4-3864A44113BD}" name="Column2" headerRowDxfId="20"/>
    <tableColumn id="4" xr3:uid="{3A21DDCF-CD86-4219-83FA-BF6F1AA15186}" name="Column3" headerRowDxfId="19"/>
    <tableColumn id="5" xr3:uid="{83C09DEC-3CA0-4FC9-BF65-FA85B25C80AE}" name="Column4" headerRowDxfId="18"/>
    <tableColumn id="6" xr3:uid="{9E14509E-0089-4246-90FD-75464D0BA151}" name="Column5" headerRowDxfId="17"/>
    <tableColumn id="7" xr3:uid="{20C47D8F-44CB-4E97-B1B8-C601FEE38E7C}" name="Column6" headerRowDxfId="16"/>
    <tableColumn id="8" xr3:uid="{9306400C-B9B6-4861-9639-868835F87DAB}" name="Column7" headerRowDxfId="15"/>
  </tableColumns>
  <tableStyleInfo name="TableStyleMedium23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2645F1-1048-4424-82A4-A49AD90755FF}" name="Table4" displayName="Table4" ref="B16:I22" headerRowCount="0" totalsRowShown="0">
  <tableColumns count="8">
    <tableColumn id="1" xr3:uid="{3A93C00F-BDCE-4D22-982B-E570B6167D5E}" name="Column1" dataDxfId="14"/>
    <tableColumn id="2" xr3:uid="{CDC8D7B0-EB06-4E95-A1F9-1E7F2ADF3BFA}" name="Column2"/>
    <tableColumn id="3" xr3:uid="{A6DA1C4B-09D2-400E-B47C-2BCE134B570D}" name="Column3"/>
    <tableColumn id="4" xr3:uid="{FAA6B788-7AB9-4660-AFB4-7E509EECC8C9}" name="Column4"/>
    <tableColumn id="5" xr3:uid="{D8476A17-9FC6-4B58-8F01-3A6CED253359}" name="Column5"/>
    <tableColumn id="6" xr3:uid="{FFBF02C3-08E9-4C4E-8178-6D56D9D805CF}" name="Column6"/>
    <tableColumn id="7" xr3:uid="{8D17CDC0-094D-457C-93F0-5D70BA60A16D}" name="Column7"/>
    <tableColumn id="8" xr3:uid="{42BAD1DA-6D8A-4C31-87E8-3FC4C14FA291}" name="Column8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511496-7693-4158-8111-4B3E95451375}" name="Table5" displayName="Table5" ref="B25:I31" headerRowCount="0" totalsRowShown="0">
  <tableColumns count="8">
    <tableColumn id="1" xr3:uid="{C6D8B7E6-B77C-442F-91A5-E55F4DAFC944}" name="Column1"/>
    <tableColumn id="2" xr3:uid="{B6A72E86-019B-4C27-A80C-BC0C54B0FF9D}" name="Column2"/>
    <tableColumn id="3" xr3:uid="{91723045-9334-4F9A-89EB-D889C51F4342}" name="Column3"/>
    <tableColumn id="4" xr3:uid="{053BEC5E-32BE-4016-987D-06D541A2BB38}" name="Column4"/>
    <tableColumn id="5" xr3:uid="{61EA9107-05A0-4580-9568-354BB244C797}" name="Column5"/>
    <tableColumn id="6" xr3:uid="{97F009D6-BC00-4F2D-9B63-002C0F828F68}" name="Column6"/>
    <tableColumn id="7" xr3:uid="{536D0567-76AD-448B-82AA-B722D7CBB531}" name="Column7"/>
    <tableColumn id="8" xr3:uid="{CB7508B1-539E-40D4-8D64-D53B20500824}" name="Column8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45E3F9-3BA3-409D-8A8C-73453F5FD935}" name="Table7" displayName="Table7" ref="B34:I40" headerRowCount="0" totalsRowShown="0">
  <tableColumns count="8">
    <tableColumn id="1" xr3:uid="{19D3EC03-3123-4BB1-9BC7-EF3F60804FAA}" name="Column1"/>
    <tableColumn id="2" xr3:uid="{AD647B2D-6310-4687-A02C-9A3B84220F05}" name="Column2"/>
    <tableColumn id="3" xr3:uid="{88565259-6DA8-4180-BFE1-4BCEB4B849D2}" name="Column3"/>
    <tableColumn id="4" xr3:uid="{CB4CFDCC-CD93-43E4-97AE-3ABC08A0BB51}" name="Column4"/>
    <tableColumn id="5" xr3:uid="{0F796631-A867-4466-998E-BB97FB33386E}" name="Column5"/>
    <tableColumn id="6" xr3:uid="{B9E7200C-99E5-4D1E-8530-33916E4025CB}" name="Column6"/>
    <tableColumn id="7" xr3:uid="{E8134CD3-5FB0-47EC-B201-48E82E510ED1}" name="Column7"/>
    <tableColumn id="8" xr3:uid="{04DF0E94-4E0C-4FFB-8455-0491E2F08D73}" name="Column8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48C1FEF-5809-445B-B308-9F0132CC9C4E}" name="Table8" displayName="Table8" ref="B43:I49" headerRowCount="0" totalsRowShown="0">
  <tableColumns count="8">
    <tableColumn id="1" xr3:uid="{4A4678FB-D2C5-405B-A433-49154D928485}" name="Column1"/>
    <tableColumn id="2" xr3:uid="{E11C49FE-976B-4971-8BCC-D157A69CADB3}" name="Column2"/>
    <tableColumn id="3" xr3:uid="{9563297D-9938-4091-9947-0A865CFA4C97}" name="Column3"/>
    <tableColumn id="4" xr3:uid="{9F135BC6-1BD0-47A4-A166-CEE0F75695AB}" name="Column4"/>
    <tableColumn id="5" xr3:uid="{9722623F-953E-48AA-95FA-A76E531EB42E}" name="Column5"/>
    <tableColumn id="6" xr3:uid="{264C6012-F020-48F1-9E5A-1EE2D6352834}" name="Column6"/>
    <tableColumn id="7" xr3:uid="{2B1641A5-68DA-40C4-9C5C-A597503A8CC8}" name="Column7"/>
    <tableColumn id="8" xr3:uid="{A7DFB6CE-37A7-4E70-96DD-5ECD3E26FC14}" name="Column8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38EA636-6C00-4655-A63E-85C76D963808}" name="Table9" displayName="Table9" ref="B52:I58" headerRowCount="0" totalsRowShown="0">
  <tableColumns count="8">
    <tableColumn id="1" xr3:uid="{B5108152-BE0D-43CC-8AE5-F284F08FDFF8}" name="Column1"/>
    <tableColumn id="2" xr3:uid="{C5FDF5E5-4134-478E-B13C-9E70B032DF93}" name="Column2"/>
    <tableColumn id="3" xr3:uid="{FF9448D8-6BCE-4EB7-BC96-2C4AFE5E1B2B}" name="Column3"/>
    <tableColumn id="4" xr3:uid="{EBC4D371-5C00-4ED1-A2AF-10A6B68764D8}" name="Column4"/>
    <tableColumn id="5" xr3:uid="{5F18C3CB-0218-40A3-BD53-606A92973F38}" name="Column5"/>
    <tableColumn id="6" xr3:uid="{3A0178B9-CD13-4EB2-998B-2090FAF0D44D}" name="Column6"/>
    <tableColumn id="7" xr3:uid="{ED6E0B0E-6D0D-4088-8023-5E52C5F4612E}" name="Column7"/>
    <tableColumn id="8" xr3:uid="{7C61D11C-4297-47CA-B6D4-DA330FF116E7}" name="Column8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541BC1C-6A92-4252-B1F9-35584338EF63}" name="Table12" displayName="Table12" ref="B7:I13" headerRowCount="0" totalsRowShown="0">
  <tableColumns count="8">
    <tableColumn id="1" xr3:uid="{65CE99B2-4CAF-4C1E-B111-F05FD2EE221C}" name="Wątki"/>
    <tableColumn id="2" xr3:uid="{2FA9DAE3-FE94-4AC9-B2CC-A4E9FDF721A0}" name="1" dataDxfId="13"/>
    <tableColumn id="3" xr3:uid="{8EA8E0EA-A506-4055-8961-0A0840AA567C}" name="2" dataDxfId="12"/>
    <tableColumn id="4" xr3:uid="{6BEF2D94-D4F1-495B-A2E1-2325B7D24F5B}" name="4" dataDxfId="11"/>
    <tableColumn id="5" xr3:uid="{0EF83B7E-FF19-4B6B-89F5-FBB47C176401}" name="8" dataDxfId="10"/>
    <tableColumn id="6" xr3:uid="{81833FD2-5B39-4033-9DB8-4034C5D91B5D}" name="16" dataDxfId="9"/>
    <tableColumn id="7" xr3:uid="{31765F41-5A24-4ACE-B59F-0646EBEAF962}" name="32" dataDxfId="8"/>
    <tableColumn id="8" xr3:uid="{E86E9EFE-9385-4F37-AF93-615974B0D336}" name="64" dataDxfId="7"/>
  </tableColumns>
  <tableStyleInfo name="TableStyleMedium2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28C7C4A-9824-4172-89F3-D4C1C1241DB1}" name="Table13" displayName="Table13" ref="B17:I23" headerRowCount="0" totalsRowShown="0">
  <tableColumns count="8">
    <tableColumn id="1" xr3:uid="{64E67727-A444-4FA1-89A5-C44BBF8A67F0}" name="Column1"/>
    <tableColumn id="2" xr3:uid="{6610F997-E0B4-4BF6-AEEA-AFE43FFBC01A}" name="Column2"/>
    <tableColumn id="3" xr3:uid="{41016449-EEFE-481F-B803-D30C54CB7A62}" name="Column3"/>
    <tableColumn id="4" xr3:uid="{FCCC72B2-1F7B-4675-A975-209412F653E8}" name="Column4"/>
    <tableColumn id="5" xr3:uid="{95DE103A-B097-49AD-BF16-AFEB9A1F491B}" name="Column5"/>
    <tableColumn id="6" xr3:uid="{7E5210E1-D1CB-434B-8628-5D0433BABD10}" name="Column6"/>
    <tableColumn id="7" xr3:uid="{56932901-C29A-4CA2-8920-88D2EFAAA26F}" name="Column7"/>
    <tableColumn id="8" xr3:uid="{2680EEED-E195-4D3A-B8D5-A602D5910FD1}" name="Column8"/>
  </tableColumns>
  <tableStyleInfo name="TableStyleMedium2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C567568-30A8-45DD-A630-E0C75DE87BA8}" name="Table14" displayName="Table14" ref="B26:I32" headerRowCount="0" totalsRowShown="0">
  <tableColumns count="8">
    <tableColumn id="1" xr3:uid="{755BA213-FD1E-4D06-9F3D-1871A6C6730B}" name="Column1"/>
    <tableColumn id="2" xr3:uid="{DFFF87AD-7E2C-40FE-ADF1-F76FE3C575E4}" name="Column2"/>
    <tableColumn id="3" xr3:uid="{C74BC0A5-57C2-4DBC-9B7E-0A243E09993F}" name="Column3"/>
    <tableColumn id="4" xr3:uid="{5F633063-5AC9-4D3A-B38A-AA4D511AAB25}" name="Column4"/>
    <tableColumn id="5" xr3:uid="{85104187-42E2-4690-8BD5-0538FBD7A6EE}" name="Column5"/>
    <tableColumn id="6" xr3:uid="{37103B04-2F48-48A4-B196-CAFD4C9F956D}" name="Column6"/>
    <tableColumn id="7" xr3:uid="{FC5AFFE7-D43C-4017-BA68-E2CAB1321E58}" name="Column7"/>
    <tableColumn id="8" xr3:uid="{1994897F-254D-4460-805A-147B70D4B573}" name="Column8"/>
  </tableColumns>
  <tableStyleInfo name="TableStyleMedium2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841D52F-B0B1-4D90-97F6-79F0C968E975}" name="Table15" displayName="Table15" ref="B35:I41" headerRowCount="0" totalsRowShown="0">
  <tableColumns count="8">
    <tableColumn id="1" xr3:uid="{01D9D5DA-411E-44F3-B9B0-B76A6510792D}" name="Column1"/>
    <tableColumn id="2" xr3:uid="{2DAAE097-B2A5-4D53-B2FF-CD91BEA1271F}" name="Column2"/>
    <tableColumn id="3" xr3:uid="{6A6178F1-9E16-4FCD-93B4-65F3F7F07F03}" name="Column3"/>
    <tableColumn id="4" xr3:uid="{72FE5BF4-8168-4CD1-86EB-E0C158FCC3E0}" name="Column4"/>
    <tableColumn id="5" xr3:uid="{7D114D2E-1AA9-4095-A326-6670B2F8D621}" name="Column5"/>
    <tableColumn id="6" xr3:uid="{2CCFE8F0-7A26-4725-808B-17C7AEE208C6}" name="Column6"/>
    <tableColumn id="7" xr3:uid="{81AC7E71-A5EB-4135-B967-506745BEAA35}" name="Column7"/>
    <tableColumn id="8" xr3:uid="{EAE35F34-A096-44AA-A238-AC238CCEF10A}" name="Column8"/>
  </tableColumns>
  <tableStyleInfo name="TableStyleMedium2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F6AF609-D5CE-44C5-910D-8CCD4984A0C1}" name="Table16" displayName="Table16" ref="B44:I50" headerRowCount="0" totalsRowShown="0">
  <tableColumns count="8">
    <tableColumn id="1" xr3:uid="{92BF4AEF-1A24-48BA-8B7C-3F976E2064E2}" name="Column1"/>
    <tableColumn id="2" xr3:uid="{1658CADB-C2D0-4E58-AF4F-D93F70A30EFE}" name="Column2"/>
    <tableColumn id="3" xr3:uid="{2F8553A0-E093-472A-8608-048914FCB168}" name="Column3"/>
    <tableColumn id="4" xr3:uid="{E5D9E258-4D9A-401C-ACE2-9CA0EFF729A1}" name="Column4"/>
    <tableColumn id="5" xr3:uid="{E30BED30-46C6-41B0-A5F7-076B6457DF91}" name="Column5"/>
    <tableColumn id="6" xr3:uid="{898F748A-A5D3-4396-9DE4-24B00785275F}" name="Column6"/>
    <tableColumn id="7" xr3:uid="{48355541-AB0C-4C7D-A39E-B049B6244E7F}" name="Column7"/>
    <tableColumn id="8" xr3:uid="{C3C7F84D-69BF-4828-BC02-ABDB3525CD35}" name="Column8"/>
  </tableColumns>
  <tableStyleInfo name="TableStyleMedium2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B45261B-0DF0-416D-8FE1-3901A9A4EA22}" name="Table17" displayName="Table17" ref="B53:I59" headerRowCount="0" totalsRowShown="0">
  <tableColumns count="8">
    <tableColumn id="1" xr3:uid="{59D0C407-F845-4A98-994A-A9FAB452A2F8}" name="Column1"/>
    <tableColumn id="2" xr3:uid="{6737AEF7-2CF4-49DB-B7E2-3FB3B31D6E0C}" name="Column2"/>
    <tableColumn id="3" xr3:uid="{78131E2E-E488-4729-AAA7-6B1416032AD2}" name="Column3"/>
    <tableColumn id="4" xr3:uid="{2636045A-4EFC-4F58-AA83-55B817614C9C}" name="Column4"/>
    <tableColumn id="5" xr3:uid="{A6B7E2D4-F96F-4DA2-82AE-D186736D203D}" name="Column5"/>
    <tableColumn id="6" xr3:uid="{E4CED155-3C2A-4888-BFB2-19BA4D2B706B}" name="Column6"/>
    <tableColumn id="7" xr3:uid="{93C20E6E-8772-40EE-92E4-FE69740FE1E8}" name="Column7"/>
    <tableColumn id="8" xr3:uid="{8B3760CB-2FCE-4190-82BC-45083A08E89D}" name="Column8"/>
  </tableColumns>
  <tableStyleInfo name="TableStyleMedium2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B5543DA-DD61-45B8-AADE-AEF512D63B90}" name="Table18" displayName="Table18" ref="B7:I13" headerRowCount="0" totalsRowShown="0">
  <tableColumns count="8">
    <tableColumn id="1" xr3:uid="{2518ABEE-B22A-4339-BE1C-7A14F38C4C4A}" name="Wątki"/>
    <tableColumn id="2" xr3:uid="{68C67868-B99F-4D5D-A0FF-B155A153D8EC}" name="1" dataDxfId="6"/>
    <tableColumn id="3" xr3:uid="{7CB73A9F-2EA8-4C07-8B99-47665DC7E3D0}" name="2" dataDxfId="5"/>
    <tableColumn id="4" xr3:uid="{E13B08A8-1F3B-4841-B4D3-260810F699FD}" name="4" dataDxfId="4"/>
    <tableColumn id="5" xr3:uid="{9E7F89B7-4C7C-4786-8AFB-C9D5019BA8DC}" name="8" dataDxfId="3"/>
    <tableColumn id="6" xr3:uid="{5E6D049D-491D-4D38-B037-144964EBC045}" name="16" dataDxfId="2"/>
    <tableColumn id="7" xr3:uid="{B125C3B1-3C21-47F9-8942-2095B4023911}" name="32" dataDxfId="1"/>
    <tableColumn id="8" xr3:uid="{7432A6EC-5E2B-4F06-BDC4-B6B08ED78DFE}" name="64" dataDxfId="0"/>
  </tableColumns>
  <tableStyleInfo name="TableStyleMedium2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08ADBA2-4A9B-4987-A76A-2953E27BDE83}" name="Table19" displayName="Table19" ref="B17:I23" headerRowCount="0" totalsRowShown="0">
  <tableColumns count="8">
    <tableColumn id="1" xr3:uid="{2FE9E3EE-7CB9-4DDC-B4E5-C3157BCC86DB}" name="Column1"/>
    <tableColumn id="2" xr3:uid="{8F1A6A9E-8BE4-4AD0-A2C5-E073AC1548C3}" name="Column2"/>
    <tableColumn id="3" xr3:uid="{970EB3A3-8B6B-483F-B6F0-312832F55FB6}" name="Column3"/>
    <tableColumn id="4" xr3:uid="{AB2798F1-620B-4A4F-9405-71850B1CFB5B}" name="Column4"/>
    <tableColumn id="5" xr3:uid="{336BD4DE-B599-42DD-91A0-18164F944A46}" name="Column5"/>
    <tableColumn id="6" xr3:uid="{7AEF0D5D-DB0A-4C3A-A06B-ECDF14098E7D}" name="Column6"/>
    <tableColumn id="7" xr3:uid="{447E11DD-6663-4873-9CF0-78AEEAE933E1}" name="Column7"/>
    <tableColumn id="8" xr3:uid="{73653FC0-521D-431B-A82D-0C8F358F1649}" name="Column8"/>
  </tableColumns>
  <tableStyleInfo name="TableStyleMedium2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759043F-43C2-4680-8E28-90E5A211B37C}" name="Table20" displayName="Table20" ref="B26:I32" headerRowCount="0" totalsRowShown="0">
  <tableColumns count="8">
    <tableColumn id="1" xr3:uid="{AB8B5E4A-7F6B-411B-81EF-1726556D0E6C}" name="Column1"/>
    <tableColumn id="2" xr3:uid="{2B8E8C8C-198A-45FD-BEBA-FF7D76CD4349}" name="Column2"/>
    <tableColumn id="3" xr3:uid="{892B8C8B-2272-45D7-AADF-44097DAD5A86}" name="Column3"/>
    <tableColumn id="4" xr3:uid="{A7355A0D-D2B8-40A5-8E1A-C372CEC2DE5B}" name="Column4"/>
    <tableColumn id="5" xr3:uid="{F55B638F-2829-47CD-BB34-A094BC63F063}" name="Column5"/>
    <tableColumn id="6" xr3:uid="{ADFEC3C8-1515-43D8-8CE2-5831E475F192}" name="Column6"/>
    <tableColumn id="7" xr3:uid="{43685A36-A36A-42C0-8084-FAA654A30CF2}" name="Column7"/>
    <tableColumn id="8" xr3:uid="{719BF6C2-DD9E-470A-B9F1-769EC6F9CAA6}" name="Column8"/>
  </tableColumns>
  <tableStyleInfo name="TableStyleMedium2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7BEC41F-A76D-4ACA-8C4E-29B571A590E5}" name="Table21" displayName="Table21" ref="B35:I41" headerRowCount="0" totalsRowShown="0">
  <tableColumns count="8">
    <tableColumn id="1" xr3:uid="{3709622D-15FA-4D3C-8D87-F0E28774AC33}" name="Column1"/>
    <tableColumn id="2" xr3:uid="{7CF59936-F937-493C-8DB0-5A6AC1455FCB}" name="Column2"/>
    <tableColumn id="3" xr3:uid="{9FD0E801-444D-42D6-B4FB-B9B02B874477}" name="Column3"/>
    <tableColumn id="4" xr3:uid="{F409B039-B8BE-4433-9001-67EA3447423A}" name="Column4"/>
    <tableColumn id="5" xr3:uid="{E1667875-6BB0-48E4-A325-27FE0989A4E2}" name="Column5"/>
    <tableColumn id="6" xr3:uid="{663464DA-9D16-4082-B709-267E8701670F}" name="Column6"/>
    <tableColumn id="7" xr3:uid="{13FDF4BC-7076-488C-B809-8BD890717E8C}" name="Column7"/>
    <tableColumn id="8" xr3:uid="{AD185541-5D89-4C3C-9ADF-CADABBFBD0F0}" name="Column8"/>
  </tableColumns>
  <tableStyleInfo name="TableStyleMedium2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FE10C53-0BD3-4F5E-B889-0ABABDFC6ED4}" name="Table22" displayName="Table22" ref="B44:I50" headerRowCount="0" totalsRowShown="0">
  <tableColumns count="8">
    <tableColumn id="1" xr3:uid="{648D040B-0D64-4A02-80C5-998E9AC8D1B3}" name="Column1"/>
    <tableColumn id="2" xr3:uid="{7A8C6807-032F-445E-AB2A-9DA12A0C684D}" name="Column2"/>
    <tableColumn id="3" xr3:uid="{6BC2DC11-3C14-4980-9CF9-602B994EBAA1}" name="Column3"/>
    <tableColumn id="4" xr3:uid="{52C16B7F-DD1F-42B3-A4A8-434ED2B3E37D}" name="Column4"/>
    <tableColumn id="5" xr3:uid="{87E62743-E5A1-4E27-A786-985C9B090BFA}" name="Column5"/>
    <tableColumn id="6" xr3:uid="{829DC91B-FDFA-47E8-A092-48EFB35A0739}" name="Column6"/>
    <tableColumn id="7" xr3:uid="{DC973186-B9D3-4EA1-A203-5E569BAFA6CF}" name="Column7"/>
    <tableColumn id="8" xr3:uid="{F26E91D6-C924-4A6C-9A4B-C0EDA4ED0708}" name="Column8"/>
  </tableColumns>
  <tableStyleInfo name="TableStyleMedium2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EB1AE20-80C7-4842-889F-8F3C2C9C8255}" name="Table23" displayName="Table23" ref="B53:I59" headerRowCount="0" totalsRowShown="0">
  <tableColumns count="8">
    <tableColumn id="1" xr3:uid="{3246BAED-6721-44D1-8CC3-F2DEC0689069}" name="Column1"/>
    <tableColumn id="2" xr3:uid="{7170D24B-0869-4427-8EF0-7B48B28EDB32}" name="Column2"/>
    <tableColumn id="3" xr3:uid="{3E9E2C60-AD34-4D30-93A8-4F0C73E22F6B}" name="Column3"/>
    <tableColumn id="4" xr3:uid="{6A4A3F6A-8ABC-4640-9090-BD783D91241B}" name="Column4"/>
    <tableColumn id="5" xr3:uid="{A509709E-DE55-410A-B8B0-C99BAFF7FA46}" name="Column5"/>
    <tableColumn id="6" xr3:uid="{7DD346DE-8240-43D9-A0FE-2BF8F7583F6F}" name="Column6"/>
    <tableColumn id="7" xr3:uid="{93BF8050-C815-41A3-A4A1-35EEAB2B5B8E}" name="Column7"/>
    <tableColumn id="8" xr3:uid="{1CA829E9-1B73-4136-BD81-ADF098C052DF}" name="Column8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drawing" Target="../drawings/drawing4.xml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6CB0-2891-4A2F-A8B5-F2B4D0A63CAC}">
  <dimension ref="B6:I58"/>
  <sheetViews>
    <sheetView topLeftCell="A13" zoomScale="85" zoomScaleNormal="85" workbookViewId="0">
      <selection activeCell="B52" sqref="B52:I58"/>
    </sheetView>
  </sheetViews>
  <sheetFormatPr defaultRowHeight="14.4" x14ac:dyDescent="0.3"/>
  <cols>
    <col min="2" max="2" width="32.44140625" customWidth="1"/>
    <col min="3" max="9" width="10.33203125" customWidth="1"/>
  </cols>
  <sheetData>
    <row r="6" spans="2:9" x14ac:dyDescent="0.3">
      <c r="B6" s="6" t="s">
        <v>6</v>
      </c>
      <c r="C6" s="6"/>
      <c r="D6" s="6"/>
      <c r="E6" s="6"/>
      <c r="F6" s="6"/>
      <c r="G6" s="6"/>
      <c r="H6" s="6"/>
      <c r="I6" s="6"/>
    </row>
    <row r="7" spans="2:9" x14ac:dyDescent="0.3">
      <c r="B7" t="s">
        <v>8</v>
      </c>
      <c r="C7" s="2">
        <v>1</v>
      </c>
      <c r="D7" s="2">
        <v>2</v>
      </c>
      <c r="E7" s="2">
        <v>4</v>
      </c>
      <c r="F7" s="2">
        <v>8</v>
      </c>
      <c r="G7" s="2">
        <v>16</v>
      </c>
      <c r="H7" s="2">
        <v>32</v>
      </c>
      <c r="I7" s="2">
        <v>64</v>
      </c>
    </row>
    <row r="8" spans="2:9" x14ac:dyDescent="0.3">
      <c r="B8" t="s">
        <v>0</v>
      </c>
      <c r="C8">
        <v>13429.1</v>
      </c>
      <c r="D8">
        <v>8394.0499999999993</v>
      </c>
      <c r="E8">
        <v>8533.5</v>
      </c>
      <c r="F8">
        <v>6203.65</v>
      </c>
      <c r="G8">
        <v>5442.74</v>
      </c>
      <c r="H8">
        <v>6390.82</v>
      </c>
      <c r="I8">
        <v>6561.22</v>
      </c>
    </row>
    <row r="9" spans="2:9" x14ac:dyDescent="0.3">
      <c r="B9" t="s">
        <v>1</v>
      </c>
      <c r="C9">
        <v>12672.4</v>
      </c>
      <c r="D9">
        <v>8263.0400000000009</v>
      </c>
      <c r="E9">
        <v>8459.5400000000009</v>
      </c>
      <c r="F9">
        <v>5800.52</v>
      </c>
      <c r="G9">
        <v>6657.27</v>
      </c>
      <c r="H9">
        <v>5886.11</v>
      </c>
      <c r="I9">
        <v>6506.67</v>
      </c>
    </row>
    <row r="10" spans="2:9" x14ac:dyDescent="0.3">
      <c r="B10" t="s">
        <v>2</v>
      </c>
      <c r="C10">
        <v>13180.9</v>
      </c>
      <c r="D10">
        <v>8955.08</v>
      </c>
      <c r="E10">
        <v>8491.85</v>
      </c>
      <c r="F10">
        <v>6227.55</v>
      </c>
      <c r="G10">
        <v>6451.88</v>
      </c>
      <c r="H10">
        <v>5001.4399999999996</v>
      </c>
      <c r="I10">
        <v>6018.85</v>
      </c>
    </row>
    <row r="11" spans="2:9" x14ac:dyDescent="0.3">
      <c r="B11" t="s">
        <v>3</v>
      </c>
      <c r="C11">
        <v>13542.3</v>
      </c>
      <c r="D11">
        <v>8638.1200000000008</v>
      </c>
      <c r="E11">
        <v>8315.17</v>
      </c>
      <c r="F11">
        <v>5567.92</v>
      </c>
      <c r="G11">
        <v>5617.31</v>
      </c>
      <c r="H11">
        <v>6468.13</v>
      </c>
      <c r="I11">
        <v>6240.11</v>
      </c>
    </row>
    <row r="12" spans="2:9" x14ac:dyDescent="0.3">
      <c r="B12" t="s">
        <v>4</v>
      </c>
      <c r="C12">
        <v>14834.3</v>
      </c>
      <c r="D12">
        <v>8662.39</v>
      </c>
      <c r="E12">
        <v>8527.56</v>
      </c>
      <c r="F12">
        <v>6620.04</v>
      </c>
      <c r="G12">
        <v>5770.33</v>
      </c>
      <c r="H12">
        <v>6048.2</v>
      </c>
      <c r="I12">
        <v>6270.42</v>
      </c>
    </row>
    <row r="13" spans="2:9" x14ac:dyDescent="0.3">
      <c r="B13" t="s">
        <v>5</v>
      </c>
      <c r="C13" s="2">
        <f t="shared" ref="C13:I13" si="0">AVERAGE(C8:C12)</f>
        <v>13531.8</v>
      </c>
      <c r="D13" s="2">
        <f t="shared" si="0"/>
        <v>8582.5360000000001</v>
      </c>
      <c r="E13" s="2">
        <f t="shared" si="0"/>
        <v>8465.5239999999994</v>
      </c>
      <c r="F13" s="2">
        <f t="shared" si="0"/>
        <v>6083.9359999999997</v>
      </c>
      <c r="G13" s="2">
        <f t="shared" si="0"/>
        <v>5987.9059999999999</v>
      </c>
      <c r="H13" s="2">
        <f t="shared" si="0"/>
        <v>5958.9400000000005</v>
      </c>
      <c r="I13" s="2">
        <f t="shared" si="0"/>
        <v>6319.4539999999997</v>
      </c>
    </row>
    <row r="15" spans="2:9" x14ac:dyDescent="0.3">
      <c r="B15" s="6" t="s">
        <v>7</v>
      </c>
      <c r="C15" s="6"/>
      <c r="D15" s="6"/>
      <c r="E15" s="6"/>
      <c r="F15" s="6"/>
      <c r="G15" s="6"/>
      <c r="H15" s="6"/>
      <c r="I15" s="6"/>
    </row>
    <row r="16" spans="2:9" x14ac:dyDescent="0.3">
      <c r="B16" s="2" t="s">
        <v>8</v>
      </c>
      <c r="C16" s="2">
        <v>1</v>
      </c>
      <c r="D16" s="2">
        <v>2</v>
      </c>
      <c r="E16" s="2">
        <v>4</v>
      </c>
      <c r="F16" s="2">
        <v>8</v>
      </c>
      <c r="G16" s="2">
        <v>16</v>
      </c>
      <c r="H16" s="2">
        <v>32</v>
      </c>
      <c r="I16" s="2">
        <v>64</v>
      </c>
    </row>
    <row r="17" spans="2:9" x14ac:dyDescent="0.3">
      <c r="B17" s="2" t="s">
        <v>0</v>
      </c>
      <c r="C17">
        <v>0.3463</v>
      </c>
      <c r="D17">
        <v>0.94189999999999996</v>
      </c>
      <c r="E17">
        <v>1.3163</v>
      </c>
      <c r="F17">
        <v>1.5421</v>
      </c>
      <c r="G17">
        <v>1.7652000000000001</v>
      </c>
      <c r="H17">
        <v>1.4420999999999999</v>
      </c>
      <c r="I17">
        <v>4.7630999999999997</v>
      </c>
    </row>
    <row r="18" spans="2:9" x14ac:dyDescent="0.3">
      <c r="B18" s="2" t="s">
        <v>1</v>
      </c>
      <c r="C18">
        <v>0.57750000000000001</v>
      </c>
      <c r="D18">
        <v>1.1787000000000001</v>
      </c>
      <c r="E18">
        <v>1.4394</v>
      </c>
      <c r="F18">
        <v>1.0074000000000001</v>
      </c>
      <c r="G18">
        <v>1.5290999999999999</v>
      </c>
      <c r="H18">
        <v>1.4139999999999999</v>
      </c>
      <c r="I18">
        <v>2.5518000000000001</v>
      </c>
    </row>
    <row r="19" spans="2:9" x14ac:dyDescent="0.3">
      <c r="B19" s="2" t="s">
        <v>2</v>
      </c>
      <c r="C19">
        <v>0.53200000000000003</v>
      </c>
      <c r="D19">
        <v>0.75209999999999999</v>
      </c>
      <c r="E19">
        <v>1.5427999999999999</v>
      </c>
      <c r="F19">
        <v>1.0755999999999999</v>
      </c>
      <c r="G19">
        <v>2.5196999999999998</v>
      </c>
      <c r="H19">
        <v>1.2994000000000001</v>
      </c>
      <c r="I19">
        <v>3.5767000000000002</v>
      </c>
    </row>
    <row r="20" spans="2:9" x14ac:dyDescent="0.3">
      <c r="B20" s="2" t="s">
        <v>3</v>
      </c>
      <c r="C20">
        <v>0.86060000000000003</v>
      </c>
      <c r="D20">
        <v>0.7833</v>
      </c>
      <c r="E20">
        <v>1.0623</v>
      </c>
      <c r="F20">
        <v>0.96240000000000003</v>
      </c>
      <c r="G20">
        <v>1.0946</v>
      </c>
      <c r="H20">
        <v>1.7065999999999999</v>
      </c>
      <c r="I20">
        <v>2.8614999999999999</v>
      </c>
    </row>
    <row r="21" spans="2:9" x14ac:dyDescent="0.3">
      <c r="B21" s="2" t="s">
        <v>4</v>
      </c>
      <c r="C21">
        <v>0.71050000000000002</v>
      </c>
      <c r="D21">
        <v>0.79110000000000003</v>
      </c>
      <c r="E21">
        <v>0.7913</v>
      </c>
      <c r="F21">
        <v>1.0797000000000001</v>
      </c>
      <c r="G21">
        <v>1.1466000000000001</v>
      </c>
      <c r="H21">
        <v>1.3232999999999999</v>
      </c>
      <c r="I21">
        <v>3.4929999999999999</v>
      </c>
    </row>
    <row r="22" spans="2:9" x14ac:dyDescent="0.3">
      <c r="B22" s="2" t="s">
        <v>5</v>
      </c>
      <c r="C22" s="2">
        <f>AVERAGE(C17:C21)</f>
        <v>0.60538000000000003</v>
      </c>
      <c r="D22" s="2">
        <f t="shared" ref="D22:I22" si="1">AVERAGE(D17:D21)</f>
        <v>0.88941999999999999</v>
      </c>
      <c r="E22" s="2">
        <f t="shared" si="1"/>
        <v>1.2304199999999998</v>
      </c>
      <c r="F22" s="2">
        <f t="shared" si="1"/>
        <v>1.1334399999999998</v>
      </c>
      <c r="G22" s="2">
        <f t="shared" si="1"/>
        <v>1.6110399999999998</v>
      </c>
      <c r="H22" s="2">
        <f t="shared" si="1"/>
        <v>1.4370799999999999</v>
      </c>
      <c r="I22" s="2">
        <f t="shared" si="1"/>
        <v>3.4492199999999995</v>
      </c>
    </row>
    <row r="24" spans="2:9" x14ac:dyDescent="0.3">
      <c r="B24" s="6" t="s">
        <v>9</v>
      </c>
      <c r="C24" s="6"/>
      <c r="D24" s="6"/>
      <c r="E24" s="6"/>
      <c r="F24" s="6"/>
      <c r="G24" s="6"/>
      <c r="H24" s="6"/>
      <c r="I24" s="6"/>
    </row>
    <row r="25" spans="2:9" x14ac:dyDescent="0.3">
      <c r="B25" s="2" t="s">
        <v>8</v>
      </c>
      <c r="C25" s="2">
        <v>1</v>
      </c>
      <c r="D25" s="2">
        <v>2</v>
      </c>
      <c r="E25" s="2">
        <v>4</v>
      </c>
      <c r="F25" s="2">
        <v>8</v>
      </c>
      <c r="G25" s="2">
        <v>16</v>
      </c>
      <c r="H25" s="2">
        <v>32</v>
      </c>
      <c r="I25" s="2">
        <v>64</v>
      </c>
    </row>
    <row r="26" spans="2:9" x14ac:dyDescent="0.3">
      <c r="B26" s="2" t="s">
        <v>0</v>
      </c>
      <c r="C26">
        <v>13018.8</v>
      </c>
      <c r="D26">
        <v>7536.31</v>
      </c>
      <c r="E26">
        <v>7626.61</v>
      </c>
      <c r="F26">
        <v>6411.85</v>
      </c>
      <c r="G26">
        <v>5314.59</v>
      </c>
      <c r="H26">
        <v>5714.59</v>
      </c>
      <c r="I26">
        <v>6362.76</v>
      </c>
    </row>
    <row r="27" spans="2:9" x14ac:dyDescent="0.3">
      <c r="B27" s="2" t="s">
        <v>1</v>
      </c>
      <c r="C27">
        <v>12452.4</v>
      </c>
      <c r="D27">
        <v>8498.25</v>
      </c>
      <c r="E27">
        <v>8217.58</v>
      </c>
      <c r="F27">
        <v>5890.73</v>
      </c>
      <c r="G27">
        <v>6658</v>
      </c>
      <c r="H27">
        <v>6310.09</v>
      </c>
      <c r="I27">
        <v>6416.8</v>
      </c>
    </row>
    <row r="28" spans="2:9" x14ac:dyDescent="0.3">
      <c r="B28" s="2" t="s">
        <v>2</v>
      </c>
      <c r="C28">
        <v>12195.8</v>
      </c>
      <c r="D28">
        <v>8075.1</v>
      </c>
      <c r="E28">
        <v>7332.39</v>
      </c>
      <c r="F28">
        <v>5754.26</v>
      </c>
      <c r="G28">
        <v>6211.85</v>
      </c>
      <c r="H28">
        <v>6565.69</v>
      </c>
      <c r="I28">
        <v>5879.7</v>
      </c>
    </row>
    <row r="29" spans="2:9" x14ac:dyDescent="0.3">
      <c r="B29" s="2" t="s">
        <v>3</v>
      </c>
      <c r="C29">
        <v>12993.9</v>
      </c>
      <c r="D29">
        <v>7960.28</v>
      </c>
      <c r="E29">
        <v>8315.1299999999992</v>
      </c>
      <c r="F29">
        <v>6461.73</v>
      </c>
      <c r="G29">
        <v>6074</v>
      </c>
      <c r="H29">
        <v>6232.3</v>
      </c>
      <c r="I29">
        <v>6031.43</v>
      </c>
    </row>
    <row r="30" spans="2:9" x14ac:dyDescent="0.3">
      <c r="B30" s="2" t="s">
        <v>4</v>
      </c>
      <c r="C30">
        <v>12380.4</v>
      </c>
      <c r="D30">
        <v>8377.01</v>
      </c>
      <c r="E30">
        <v>8010.54</v>
      </c>
      <c r="F30">
        <v>6147.2</v>
      </c>
      <c r="G30">
        <v>7781.44</v>
      </c>
      <c r="H30">
        <v>5822.14</v>
      </c>
      <c r="I30">
        <v>6130</v>
      </c>
    </row>
    <row r="31" spans="2:9" x14ac:dyDescent="0.3">
      <c r="B31" s="2" t="s">
        <v>5</v>
      </c>
      <c r="C31" s="2">
        <f>AVERAGE(C26:C30)</f>
        <v>12608.26</v>
      </c>
      <c r="D31" s="2">
        <f t="shared" ref="D31:I31" si="2">AVERAGE(D26:D30)</f>
        <v>8089.3900000000012</v>
      </c>
      <c r="E31" s="2">
        <f t="shared" si="2"/>
        <v>7900.45</v>
      </c>
      <c r="F31" s="2">
        <f t="shared" si="2"/>
        <v>6133.1540000000005</v>
      </c>
      <c r="G31" s="2">
        <f t="shared" si="2"/>
        <v>6407.9760000000006</v>
      </c>
      <c r="H31" s="2">
        <f t="shared" si="2"/>
        <v>6128.9619999999995</v>
      </c>
      <c r="I31" s="2">
        <f t="shared" si="2"/>
        <v>6164.1380000000008</v>
      </c>
    </row>
    <row r="33" spans="2:9" x14ac:dyDescent="0.3">
      <c r="B33" s="6" t="s">
        <v>10</v>
      </c>
      <c r="C33" s="6"/>
      <c r="D33" s="6"/>
      <c r="E33" s="6"/>
      <c r="F33" s="6"/>
      <c r="G33" s="6"/>
      <c r="H33" s="6"/>
      <c r="I33" s="6"/>
    </row>
    <row r="34" spans="2:9" x14ac:dyDescent="0.3">
      <c r="B34" s="2" t="s">
        <v>8</v>
      </c>
      <c r="C34" s="2">
        <v>1</v>
      </c>
      <c r="D34" s="2">
        <v>2</v>
      </c>
      <c r="E34" s="2">
        <v>4</v>
      </c>
      <c r="F34" s="2">
        <v>8</v>
      </c>
      <c r="G34" s="2">
        <v>16</v>
      </c>
      <c r="H34" s="2">
        <v>32</v>
      </c>
      <c r="I34" s="2">
        <v>64</v>
      </c>
    </row>
    <row r="35" spans="2:9" x14ac:dyDescent="0.3">
      <c r="B35" s="2" t="s">
        <v>0</v>
      </c>
      <c r="C35">
        <v>8.5484000000000009</v>
      </c>
      <c r="D35">
        <v>7.3078000000000003</v>
      </c>
      <c r="E35">
        <v>15.343500000000001</v>
      </c>
      <c r="F35">
        <v>22.411799999999999</v>
      </c>
      <c r="G35">
        <v>24.484100000000002</v>
      </c>
      <c r="H35">
        <v>32.936599999999999</v>
      </c>
      <c r="I35">
        <v>49.589199999999998</v>
      </c>
    </row>
    <row r="36" spans="2:9" x14ac:dyDescent="0.3">
      <c r="B36" s="2" t="s">
        <v>1</v>
      </c>
      <c r="C36">
        <v>9.1457999999999995</v>
      </c>
      <c r="D36">
        <v>7.8872999999999998</v>
      </c>
      <c r="E36">
        <v>15.4145</v>
      </c>
      <c r="F36">
        <v>32.231299999999997</v>
      </c>
      <c r="G36">
        <v>22.388100000000001</v>
      </c>
      <c r="H36">
        <v>41.165999999999997</v>
      </c>
      <c r="I36">
        <v>48.916800000000002</v>
      </c>
    </row>
    <row r="37" spans="2:9" x14ac:dyDescent="0.3">
      <c r="B37" s="2" t="s">
        <v>2</v>
      </c>
      <c r="C37">
        <v>7.8236999999999997</v>
      </c>
      <c r="D37">
        <v>8.0684000000000005</v>
      </c>
      <c r="E37">
        <v>16.7239</v>
      </c>
      <c r="F37">
        <v>36.907899999999998</v>
      </c>
      <c r="G37">
        <v>36.778500000000001</v>
      </c>
      <c r="H37">
        <v>27.2576</v>
      </c>
      <c r="I37">
        <v>46.203800000000001</v>
      </c>
    </row>
    <row r="38" spans="2:9" x14ac:dyDescent="0.3">
      <c r="B38" s="2" t="s">
        <v>3</v>
      </c>
      <c r="C38">
        <v>9.4669000000000008</v>
      </c>
      <c r="D38">
        <v>8.4541000000000004</v>
      </c>
      <c r="E38">
        <v>20.110299999999999</v>
      </c>
      <c r="F38">
        <v>22.874500000000001</v>
      </c>
      <c r="G38">
        <v>30.422000000000001</v>
      </c>
      <c r="H38">
        <v>35.847999999999999</v>
      </c>
      <c r="I38">
        <v>39.328800000000001</v>
      </c>
    </row>
    <row r="39" spans="2:9" x14ac:dyDescent="0.3">
      <c r="B39" s="2" t="s">
        <v>4</v>
      </c>
      <c r="C39">
        <v>8.4484999999999992</v>
      </c>
      <c r="D39">
        <v>8.9318000000000008</v>
      </c>
      <c r="E39">
        <v>21.1799</v>
      </c>
      <c r="F39">
        <v>38.063699999999997</v>
      </c>
      <c r="G39">
        <v>36.007100000000001</v>
      </c>
      <c r="H39">
        <v>15.0284</v>
      </c>
      <c r="I39">
        <v>50.837600000000002</v>
      </c>
    </row>
    <row r="40" spans="2:9" x14ac:dyDescent="0.3">
      <c r="B40" s="2" t="s">
        <v>5</v>
      </c>
      <c r="C40" s="2">
        <f>AVERAGE(C35:C39)</f>
        <v>8.6866599999999998</v>
      </c>
      <c r="D40" s="2">
        <f t="shared" ref="D40:I40" si="3">AVERAGE(D35:D39)</f>
        <v>8.12988</v>
      </c>
      <c r="E40" s="2">
        <f t="shared" si="3"/>
        <v>17.754420000000003</v>
      </c>
      <c r="F40" s="2">
        <f t="shared" si="3"/>
        <v>30.497839999999997</v>
      </c>
      <c r="G40" s="2">
        <f t="shared" si="3"/>
        <v>30.01596</v>
      </c>
      <c r="H40" s="2">
        <f t="shared" si="3"/>
        <v>30.447319999999998</v>
      </c>
      <c r="I40" s="2">
        <f t="shared" si="3"/>
        <v>46.975239999999999</v>
      </c>
    </row>
    <row r="42" spans="2:9" x14ac:dyDescent="0.3">
      <c r="B42" s="6" t="s">
        <v>19</v>
      </c>
      <c r="C42" s="6"/>
      <c r="D42" s="6"/>
      <c r="E42" s="6"/>
      <c r="F42" s="6"/>
      <c r="G42" s="6"/>
      <c r="H42" s="6"/>
      <c r="I42" s="6"/>
    </row>
    <row r="43" spans="2:9" x14ac:dyDescent="0.3">
      <c r="B43" s="2" t="s">
        <v>8</v>
      </c>
      <c r="C43" s="2">
        <v>1</v>
      </c>
      <c r="D43" s="2">
        <v>2</v>
      </c>
      <c r="E43" s="2">
        <v>4</v>
      </c>
      <c r="F43" s="2">
        <v>8</v>
      </c>
      <c r="G43" s="2">
        <v>16</v>
      </c>
      <c r="H43" s="2">
        <v>32</v>
      </c>
      <c r="I43" s="2">
        <v>64</v>
      </c>
    </row>
    <row r="44" spans="2:9" x14ac:dyDescent="0.3">
      <c r="B44" s="2" t="s">
        <v>0</v>
      </c>
      <c r="C44">
        <v>12337.8</v>
      </c>
      <c r="D44">
        <v>7719.31</v>
      </c>
      <c r="E44">
        <v>7475.38</v>
      </c>
      <c r="F44">
        <v>7484.61</v>
      </c>
      <c r="G44">
        <v>6601.27</v>
      </c>
      <c r="H44">
        <v>5769.09</v>
      </c>
      <c r="I44">
        <v>5977.85</v>
      </c>
    </row>
    <row r="45" spans="2:9" x14ac:dyDescent="0.3">
      <c r="B45" s="2" t="s">
        <v>1</v>
      </c>
      <c r="C45">
        <v>12502.4</v>
      </c>
      <c r="D45">
        <v>7851.67</v>
      </c>
      <c r="E45">
        <v>7699.01</v>
      </c>
      <c r="F45">
        <v>7521.83</v>
      </c>
      <c r="G45">
        <v>6544.91</v>
      </c>
      <c r="H45">
        <v>5902.18</v>
      </c>
      <c r="I45">
        <v>6023.71</v>
      </c>
    </row>
    <row r="46" spans="2:9" x14ac:dyDescent="0.3">
      <c r="B46" s="2" t="s">
        <v>2</v>
      </c>
      <c r="C46">
        <v>12197.6</v>
      </c>
      <c r="D46">
        <v>7608.45</v>
      </c>
      <c r="E46">
        <v>7342.54</v>
      </c>
      <c r="F46">
        <v>7396.02</v>
      </c>
      <c r="G46">
        <v>6677.1</v>
      </c>
      <c r="H46">
        <v>5689.73</v>
      </c>
      <c r="I46">
        <v>5939.42</v>
      </c>
    </row>
    <row r="47" spans="2:9" x14ac:dyDescent="0.3">
      <c r="B47" s="2" t="s">
        <v>3</v>
      </c>
      <c r="C47">
        <v>12415.2</v>
      </c>
      <c r="D47">
        <v>7793.88</v>
      </c>
      <c r="E47">
        <v>7610.33</v>
      </c>
      <c r="F47">
        <v>7532.74</v>
      </c>
      <c r="G47">
        <v>6510.28</v>
      </c>
      <c r="H47">
        <v>5803.65</v>
      </c>
      <c r="I47">
        <v>6122.19</v>
      </c>
    </row>
    <row r="48" spans="2:9" x14ac:dyDescent="0.3">
      <c r="B48" s="2" t="s">
        <v>4</v>
      </c>
      <c r="C48">
        <v>12289.7</v>
      </c>
      <c r="D48">
        <v>7681.22</v>
      </c>
      <c r="E48">
        <v>7464.17</v>
      </c>
      <c r="F48">
        <v>7441.35</v>
      </c>
      <c r="G48">
        <v>6592.03</v>
      </c>
      <c r="H48">
        <v>5728.44</v>
      </c>
      <c r="I48">
        <v>6044.88</v>
      </c>
    </row>
    <row r="49" spans="2:9" x14ac:dyDescent="0.3">
      <c r="B49" s="2" t="s">
        <v>5</v>
      </c>
      <c r="C49" s="2">
        <f>AVERAGE(C44:C48)</f>
        <v>12348.539999999999</v>
      </c>
      <c r="D49" s="2">
        <f t="shared" ref="D49" si="4">AVERAGE(D44:D48)</f>
        <v>7730.9059999999999</v>
      </c>
      <c r="E49" s="2">
        <f t="shared" ref="E49" si="5">AVERAGE(E44:E48)</f>
        <v>7518.2860000000001</v>
      </c>
      <c r="F49" s="2">
        <f t="shared" ref="F49" si="6">AVERAGE(F44:F48)</f>
        <v>7475.3099999999995</v>
      </c>
      <c r="G49" s="2">
        <f t="shared" ref="G49" si="7">AVERAGE(G44:G48)</f>
        <v>6585.1179999999995</v>
      </c>
      <c r="H49" s="2">
        <f t="shared" ref="H49" si="8">AVERAGE(H44:H48)</f>
        <v>5778.6180000000004</v>
      </c>
      <c r="I49" s="2">
        <f t="shared" ref="I49" si="9">AVERAGE(I44:I48)</f>
        <v>6021.6100000000006</v>
      </c>
    </row>
    <row r="51" spans="2:9" x14ac:dyDescent="0.3">
      <c r="B51" s="6" t="s">
        <v>20</v>
      </c>
      <c r="C51" s="6"/>
      <c r="D51" s="6"/>
      <c r="E51" s="6"/>
      <c r="F51" s="6"/>
      <c r="G51" s="6"/>
      <c r="H51" s="6"/>
      <c r="I51" s="6"/>
    </row>
    <row r="52" spans="2:9" x14ac:dyDescent="0.3">
      <c r="B52" s="2" t="s">
        <v>8</v>
      </c>
      <c r="C52" s="2">
        <v>1</v>
      </c>
      <c r="D52" s="2">
        <v>2</v>
      </c>
      <c r="E52" s="2">
        <v>4</v>
      </c>
      <c r="F52" s="2">
        <v>8</v>
      </c>
      <c r="G52" s="2">
        <v>16</v>
      </c>
      <c r="H52" s="2">
        <v>32</v>
      </c>
      <c r="I52" s="2">
        <v>64</v>
      </c>
    </row>
    <row r="53" spans="2:9" x14ac:dyDescent="0.3">
      <c r="B53" s="2" t="s">
        <v>0</v>
      </c>
      <c r="C53">
        <v>0.77129999999999999</v>
      </c>
      <c r="D53">
        <v>0.86919999999999997</v>
      </c>
      <c r="E53">
        <v>1.6712</v>
      </c>
      <c r="F53">
        <v>1.2197</v>
      </c>
      <c r="G53">
        <v>1.8492</v>
      </c>
      <c r="H53">
        <v>1.7834000000000001</v>
      </c>
      <c r="I53">
        <v>2.2204000000000002</v>
      </c>
    </row>
    <row r="54" spans="2:9" x14ac:dyDescent="0.3">
      <c r="B54" s="2" t="s">
        <v>1</v>
      </c>
      <c r="C54">
        <v>0.75839999999999996</v>
      </c>
      <c r="D54">
        <v>0.88260000000000005</v>
      </c>
      <c r="E54">
        <v>1.7054</v>
      </c>
      <c r="F54">
        <v>1.2481</v>
      </c>
      <c r="G54">
        <v>1.8731</v>
      </c>
      <c r="H54">
        <v>1.8119000000000001</v>
      </c>
      <c r="I54">
        <v>2.1978</v>
      </c>
    </row>
    <row r="55" spans="2:9" x14ac:dyDescent="0.3">
      <c r="B55" s="2" t="s">
        <v>2</v>
      </c>
      <c r="C55">
        <v>0.76549999999999996</v>
      </c>
      <c r="D55">
        <v>0.85470000000000002</v>
      </c>
      <c r="E55">
        <v>1.6428</v>
      </c>
      <c r="F55">
        <v>1.2934000000000001</v>
      </c>
      <c r="G55">
        <v>1.8012999999999999</v>
      </c>
      <c r="H55">
        <v>1.7655000000000001</v>
      </c>
      <c r="I55">
        <v>2.1589</v>
      </c>
    </row>
    <row r="56" spans="2:9" x14ac:dyDescent="0.3">
      <c r="B56" s="2" t="s">
        <v>3</v>
      </c>
      <c r="C56">
        <v>0.78259999999999996</v>
      </c>
      <c r="D56">
        <v>0.87709999999999999</v>
      </c>
      <c r="E56">
        <v>1.6890000000000001</v>
      </c>
      <c r="F56">
        <v>1.2321</v>
      </c>
      <c r="G56">
        <v>1.8294999999999999</v>
      </c>
      <c r="H56">
        <v>1.7998000000000001</v>
      </c>
      <c r="I56">
        <v>2.2416</v>
      </c>
    </row>
    <row r="57" spans="2:9" x14ac:dyDescent="0.3">
      <c r="B57" s="2" t="s">
        <v>4</v>
      </c>
      <c r="C57">
        <v>0.76910000000000001</v>
      </c>
      <c r="D57">
        <v>0.86140000000000005</v>
      </c>
      <c r="E57">
        <v>1.6583000000000001</v>
      </c>
      <c r="F57">
        <v>1.2104999999999999</v>
      </c>
      <c r="G57">
        <v>1.8467</v>
      </c>
      <c r="H57">
        <v>1.7842</v>
      </c>
      <c r="I57">
        <v>2.2037</v>
      </c>
    </row>
    <row r="58" spans="2:9" x14ac:dyDescent="0.3">
      <c r="B58" s="2" t="s">
        <v>5</v>
      </c>
      <c r="C58" s="2">
        <f>AVERAGE(C53:C57)</f>
        <v>0.76937999999999995</v>
      </c>
      <c r="D58" s="2">
        <f t="shared" ref="D58" si="10">AVERAGE(D53:D57)</f>
        <v>0.86899999999999999</v>
      </c>
      <c r="E58" s="2">
        <f t="shared" ref="E58" si="11">AVERAGE(E53:E57)</f>
        <v>1.67334</v>
      </c>
      <c r="F58" s="2">
        <f t="shared" ref="F58" si="12">AVERAGE(F53:F57)</f>
        <v>1.2407599999999999</v>
      </c>
      <c r="G58" s="2">
        <f t="shared" ref="G58" si="13">AVERAGE(G53:G57)</f>
        <v>1.83996</v>
      </c>
      <c r="H58" s="2">
        <f t="shared" ref="H58" si="14">AVERAGE(H53:H57)</f>
        <v>1.7889600000000001</v>
      </c>
      <c r="I58" s="2">
        <f t="shared" ref="I58" si="15">AVERAGE(I53:I57)</f>
        <v>2.2044799999999998</v>
      </c>
    </row>
  </sheetData>
  <mergeCells count="6">
    <mergeCell ref="B51:I51"/>
    <mergeCell ref="B6:I6"/>
    <mergeCell ref="B15:I15"/>
    <mergeCell ref="B24:I24"/>
    <mergeCell ref="B33:I33"/>
    <mergeCell ref="B42:I42"/>
  </mergeCells>
  <phoneticPr fontId="1" type="noConversion"/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121B9-5B23-4EB7-BF6B-962B01C28395}">
  <dimension ref="A1:H10"/>
  <sheetViews>
    <sheetView zoomScaleNormal="100" workbookViewId="0">
      <selection activeCell="G22" sqref="G22"/>
    </sheetView>
  </sheetViews>
  <sheetFormatPr defaultRowHeight="14.4" x14ac:dyDescent="0.3"/>
  <cols>
    <col min="1" max="1" width="9.77734375" customWidth="1"/>
    <col min="9" max="9" width="14.33203125" customWidth="1"/>
  </cols>
  <sheetData>
    <row r="1" spans="1:8" x14ac:dyDescent="0.3">
      <c r="A1" s="5" t="s">
        <v>8</v>
      </c>
      <c r="B1" s="5">
        <v>1</v>
      </c>
      <c r="C1" s="5">
        <v>2</v>
      </c>
      <c r="D1" s="5">
        <v>4</v>
      </c>
      <c r="E1" s="5">
        <v>8</v>
      </c>
      <c r="F1" s="5">
        <v>16</v>
      </c>
      <c r="G1" s="5">
        <v>32</v>
      </c>
      <c r="H1" s="5">
        <v>64</v>
      </c>
    </row>
    <row r="2" spans="1:8" x14ac:dyDescent="0.3">
      <c r="A2" s="5" t="s">
        <v>26</v>
      </c>
      <c r="B2" s="4">
        <v>13531.8</v>
      </c>
      <c r="C2" s="4">
        <v>8582.5360000000001</v>
      </c>
      <c r="D2" s="4">
        <v>8465.5239999999994</v>
      </c>
      <c r="E2" s="4">
        <v>6083.9359999999997</v>
      </c>
      <c r="F2" s="4">
        <v>5987.9059999999999</v>
      </c>
      <c r="G2" s="4">
        <v>5958.9400000000005</v>
      </c>
      <c r="H2" s="4">
        <v>6319.4539999999997</v>
      </c>
    </row>
    <row r="3" spans="1:8" x14ac:dyDescent="0.3">
      <c r="A3" s="5" t="s">
        <v>31</v>
      </c>
      <c r="B3" s="4">
        <v>12348.539999999999</v>
      </c>
      <c r="C3" s="4">
        <v>7730.9059999999999</v>
      </c>
      <c r="D3" s="4">
        <v>7518.2860000000001</v>
      </c>
      <c r="E3" s="4">
        <v>7475.3099999999995</v>
      </c>
      <c r="F3" s="4">
        <v>6585.1179999999995</v>
      </c>
      <c r="G3" s="4">
        <v>5778.6180000000004</v>
      </c>
      <c r="H3" s="4">
        <v>6021.6100000000006</v>
      </c>
    </row>
    <row r="4" spans="1:8" x14ac:dyDescent="0.3">
      <c r="A4" s="5" t="s">
        <v>28</v>
      </c>
      <c r="B4" s="4">
        <v>12608.26</v>
      </c>
      <c r="C4" s="4">
        <v>8089.3900000000012</v>
      </c>
      <c r="D4" s="4">
        <v>7900.45</v>
      </c>
      <c r="E4" s="4">
        <v>6133.1540000000005</v>
      </c>
      <c r="F4" s="4">
        <v>6407.9760000000006</v>
      </c>
      <c r="G4" s="4">
        <v>6128.9619999999995</v>
      </c>
      <c r="H4" s="4">
        <v>6164.1380000000008</v>
      </c>
    </row>
    <row r="5" spans="1:8" x14ac:dyDescent="0.3">
      <c r="A5" s="5" t="s">
        <v>25</v>
      </c>
      <c r="B5" s="4">
        <v>52931.007799999999</v>
      </c>
      <c r="C5" s="4">
        <v>34704.591</v>
      </c>
      <c r="D5" s="4">
        <v>25053.046000000002</v>
      </c>
      <c r="E5" s="4">
        <v>21377.662800000002</v>
      </c>
      <c r="F5" s="4">
        <v>20891.939600000002</v>
      </c>
      <c r="G5" s="4">
        <v>17328.7572</v>
      </c>
      <c r="H5" s="4">
        <v>19751.7762</v>
      </c>
    </row>
    <row r="6" spans="1:8" x14ac:dyDescent="0.3">
      <c r="A6" s="5" t="s">
        <v>32</v>
      </c>
      <c r="B6" s="4">
        <v>59952.659999999996</v>
      </c>
      <c r="C6" s="4">
        <v>34914.980000000003</v>
      </c>
      <c r="D6" s="4">
        <v>28794.1</v>
      </c>
      <c r="E6" s="4">
        <v>24459.96</v>
      </c>
      <c r="F6" s="4">
        <v>22425.440000000002</v>
      </c>
      <c r="G6" s="4">
        <v>18258.340000000004</v>
      </c>
      <c r="H6" s="4">
        <v>18270.579999999998</v>
      </c>
    </row>
    <row r="7" spans="1:8" x14ac:dyDescent="0.3">
      <c r="A7" s="5" t="s">
        <v>29</v>
      </c>
      <c r="B7" s="4">
        <v>56955.636400000003</v>
      </c>
      <c r="C7" s="4">
        <v>35055.438399999999</v>
      </c>
      <c r="D7" s="4">
        <v>26734.458399999996</v>
      </c>
      <c r="E7" s="4">
        <v>26000.990400000002</v>
      </c>
      <c r="F7" s="4">
        <v>22245.879399999998</v>
      </c>
      <c r="G7" s="4">
        <v>20754.291000000005</v>
      </c>
      <c r="H7" s="4">
        <v>17014.813199999997</v>
      </c>
    </row>
    <row r="8" spans="1:8" x14ac:dyDescent="0.3">
      <c r="A8" s="5" t="s">
        <v>27</v>
      </c>
      <c r="B8" s="4">
        <v>92563.38</v>
      </c>
      <c r="C8" s="4">
        <v>70215.100000000006</v>
      </c>
      <c r="D8" s="4">
        <v>52480.279999999992</v>
      </c>
      <c r="E8" s="4">
        <v>39809.899999999994</v>
      </c>
      <c r="F8" s="4">
        <v>37926.619999999995</v>
      </c>
      <c r="G8" s="4">
        <v>35691.659999999996</v>
      </c>
      <c r="H8" s="4">
        <v>29108.5</v>
      </c>
    </row>
    <row r="9" spans="1:8" x14ac:dyDescent="0.3">
      <c r="A9" s="5" t="s">
        <v>33</v>
      </c>
      <c r="B9" s="4">
        <v>101017.7</v>
      </c>
      <c r="C9" s="4">
        <v>71757.8</v>
      </c>
      <c r="D9" s="4">
        <v>53502.400000000001</v>
      </c>
      <c r="E9" s="4">
        <v>44453.320000000007</v>
      </c>
      <c r="F9" s="4">
        <v>35554.44</v>
      </c>
      <c r="G9" s="4">
        <v>35924.119999999995</v>
      </c>
      <c r="H9" s="4">
        <v>33438.36</v>
      </c>
    </row>
    <row r="10" spans="1:8" x14ac:dyDescent="0.3">
      <c r="A10" s="5" t="s">
        <v>30</v>
      </c>
      <c r="B10" s="4">
        <v>134849.4</v>
      </c>
      <c r="C10" s="4">
        <v>92525.5</v>
      </c>
      <c r="D10" s="4">
        <v>54263.040000000001</v>
      </c>
      <c r="E10" s="4">
        <v>42417.08</v>
      </c>
      <c r="F10" s="4">
        <v>36506.619999999995</v>
      </c>
      <c r="G10" s="4">
        <v>33718.800000000003</v>
      </c>
      <c r="H10" s="4">
        <v>33234.06</v>
      </c>
    </row>
  </sheetData>
  <conditionalFormatting sqref="B2:H4">
    <cfRule type="colorScale" priority="4">
      <colorScale>
        <cfvo type="min"/>
        <cfvo type="max"/>
        <color theme="7" tint="0.79998168889431442"/>
        <color theme="7" tint="0.39997558519241921"/>
      </colorScale>
    </cfRule>
    <cfRule type="colorScale" priority="5">
      <colorScale>
        <cfvo type="min"/>
        <cfvo type="max"/>
        <color theme="7" tint="0.39997558519241921"/>
        <color theme="7" tint="0.79998168889431442"/>
      </colorScale>
    </cfRule>
    <cfRule type="colorScale" priority="6">
      <colorScale>
        <cfvo type="min"/>
        <cfvo type="max"/>
        <color theme="7" tint="-0.249977111117893"/>
        <color theme="7" tint="0.79998168889431442"/>
      </colorScale>
    </cfRule>
    <cfRule type="colorScale" priority="7">
      <colorScale>
        <cfvo type="min"/>
        <cfvo type="max"/>
        <color rgb="FF0070C0"/>
        <color rgb="FF00B0F0"/>
      </colorScale>
    </cfRule>
    <cfRule type="colorScale" priority="8">
      <colorScale>
        <cfvo type="min"/>
        <cfvo type="max"/>
        <color rgb="FF002060"/>
        <color rgb="FF00B0F0"/>
      </colorScale>
    </cfRule>
  </conditionalFormatting>
  <conditionalFormatting sqref="B5:H7">
    <cfRule type="colorScale" priority="2">
      <colorScale>
        <cfvo type="min"/>
        <cfvo type="max"/>
        <color theme="5" tint="0.79998168889431442"/>
        <color theme="5" tint="0.39997558519241921"/>
      </colorScale>
    </cfRule>
    <cfRule type="colorScale" priority="3">
      <colorScale>
        <cfvo type="min"/>
        <cfvo type="max"/>
        <color theme="5" tint="-0.249977111117893"/>
        <color theme="5" tint="0.79998168889431442"/>
      </colorScale>
    </cfRule>
  </conditionalFormatting>
  <conditionalFormatting sqref="B8:H10">
    <cfRule type="colorScale" priority="1">
      <colorScale>
        <cfvo type="min"/>
        <cfvo type="max"/>
        <color theme="9" tint="0.79998168889431442"/>
        <color theme="9" tint="0.39997558519241921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E293-514D-4A64-A76E-806AA0B92A24}">
  <dimension ref="B6:I59"/>
  <sheetViews>
    <sheetView topLeftCell="G6" zoomScale="85" zoomScaleNormal="85" workbookViewId="0">
      <selection activeCell="Q38" sqref="Q38"/>
    </sheetView>
  </sheetViews>
  <sheetFormatPr defaultRowHeight="14.4" x14ac:dyDescent="0.3"/>
  <cols>
    <col min="2" max="2" width="14.109375" customWidth="1"/>
    <col min="3" max="9" width="10.33203125" customWidth="1"/>
  </cols>
  <sheetData>
    <row r="6" spans="2:9" x14ac:dyDescent="0.3">
      <c r="B6" s="6" t="s">
        <v>11</v>
      </c>
      <c r="C6" s="6"/>
      <c r="D6" s="6"/>
      <c r="E6" s="6"/>
      <c r="F6" s="6"/>
      <c r="G6" s="6"/>
      <c r="H6" s="6"/>
      <c r="I6" s="6"/>
    </row>
    <row r="7" spans="2:9" x14ac:dyDescent="0.3">
      <c r="B7" s="2" t="s">
        <v>8</v>
      </c>
      <c r="C7" s="2">
        <v>1</v>
      </c>
      <c r="D7" s="2">
        <v>2</v>
      </c>
      <c r="E7" s="2">
        <v>4</v>
      </c>
      <c r="F7" s="2">
        <v>8</v>
      </c>
      <c r="G7" s="2">
        <v>16</v>
      </c>
      <c r="H7" s="2">
        <v>32</v>
      </c>
      <c r="I7" s="2">
        <v>64</v>
      </c>
    </row>
    <row r="8" spans="2:9" x14ac:dyDescent="0.3">
      <c r="B8" s="2" t="s">
        <v>0</v>
      </c>
      <c r="C8" s="1">
        <v>53284.478999999999</v>
      </c>
      <c r="D8" s="1">
        <v>36062.072</v>
      </c>
      <c r="E8" s="1">
        <v>24022.815999999999</v>
      </c>
      <c r="F8" s="1">
        <v>21683.924999999999</v>
      </c>
      <c r="G8" s="1">
        <v>21062.312000000002</v>
      </c>
      <c r="H8" s="1">
        <v>18566.841</v>
      </c>
      <c r="I8" s="1">
        <v>20669.036</v>
      </c>
    </row>
    <row r="9" spans="2:9" x14ac:dyDescent="0.3">
      <c r="B9" s="2" t="s">
        <v>1</v>
      </c>
      <c r="C9" s="1">
        <v>52380.97</v>
      </c>
      <c r="D9" s="1">
        <v>35353.419000000002</v>
      </c>
      <c r="E9" s="1">
        <v>26111.525000000001</v>
      </c>
      <c r="F9" s="1">
        <v>21114.398000000001</v>
      </c>
      <c r="G9" s="1">
        <v>21002.937999999998</v>
      </c>
      <c r="H9" s="1">
        <v>17815.830999999998</v>
      </c>
      <c r="I9" s="1">
        <v>19165.813999999998</v>
      </c>
    </row>
    <row r="10" spans="2:9" x14ac:dyDescent="0.3">
      <c r="B10" s="2" t="s">
        <v>2</v>
      </c>
      <c r="C10" s="1">
        <v>53326.883999999998</v>
      </c>
      <c r="D10" s="1">
        <v>33298.720999999998</v>
      </c>
      <c r="E10" s="1">
        <v>26241.516</v>
      </c>
      <c r="F10" s="1">
        <v>20862.545999999998</v>
      </c>
      <c r="G10" s="1">
        <v>19695.399000000001</v>
      </c>
      <c r="H10" s="1">
        <v>16615.546999999999</v>
      </c>
      <c r="I10" s="1">
        <v>19314.888999999999</v>
      </c>
    </row>
    <row r="11" spans="2:9" x14ac:dyDescent="0.3">
      <c r="B11" s="2" t="s">
        <v>3</v>
      </c>
      <c r="C11" s="1">
        <v>50968.517</v>
      </c>
      <c r="D11" s="1">
        <v>34800.201999999997</v>
      </c>
      <c r="E11" s="1">
        <v>23412.269</v>
      </c>
      <c r="F11" s="1">
        <v>21868.401999999998</v>
      </c>
      <c r="G11" s="1">
        <v>21264.985000000001</v>
      </c>
      <c r="H11" s="1">
        <v>16530.744999999999</v>
      </c>
      <c r="I11" s="1">
        <v>20568.201000000001</v>
      </c>
    </row>
    <row r="12" spans="2:9" x14ac:dyDescent="0.3">
      <c r="B12" s="2" t="s">
        <v>4</v>
      </c>
      <c r="C12" s="1">
        <v>54694.188999999998</v>
      </c>
      <c r="D12" s="1">
        <v>34008.540999999997</v>
      </c>
      <c r="E12" s="1">
        <v>25477.103999999999</v>
      </c>
      <c r="F12" s="1">
        <v>21359.043000000001</v>
      </c>
      <c r="G12" s="1">
        <v>21434.063999999998</v>
      </c>
      <c r="H12" s="1">
        <v>17114.822</v>
      </c>
      <c r="I12" s="1">
        <v>19040.940999999999</v>
      </c>
    </row>
    <row r="13" spans="2:9" x14ac:dyDescent="0.3">
      <c r="B13" s="2" t="s">
        <v>5</v>
      </c>
      <c r="C13" s="3">
        <f t="shared" ref="C13:I13" si="0">AVERAGE(C8:C12)</f>
        <v>52931.007799999999</v>
      </c>
      <c r="D13" s="3">
        <f t="shared" si="0"/>
        <v>34704.591</v>
      </c>
      <c r="E13" s="3">
        <f t="shared" si="0"/>
        <v>25053.046000000002</v>
      </c>
      <c r="F13" s="3">
        <f t="shared" si="0"/>
        <v>21377.662800000002</v>
      </c>
      <c r="G13" s="3">
        <f t="shared" si="0"/>
        <v>20891.939600000002</v>
      </c>
      <c r="H13" s="3">
        <f t="shared" si="0"/>
        <v>17328.7572</v>
      </c>
      <c r="I13" s="3">
        <f t="shared" si="0"/>
        <v>19751.7762</v>
      </c>
    </row>
    <row r="16" spans="2:9" x14ac:dyDescent="0.3">
      <c r="B16" s="6" t="s">
        <v>12</v>
      </c>
      <c r="C16" s="6"/>
      <c r="D16" s="6"/>
      <c r="E16" s="6"/>
      <c r="F16" s="6"/>
      <c r="G16" s="6"/>
      <c r="H16" s="6"/>
      <c r="I16" s="6"/>
    </row>
    <row r="17" spans="2:9" x14ac:dyDescent="0.3">
      <c r="B17" s="2" t="s">
        <v>8</v>
      </c>
      <c r="C17" s="2">
        <v>1</v>
      </c>
      <c r="D17" s="2">
        <v>2</v>
      </c>
      <c r="E17" s="2">
        <v>4</v>
      </c>
      <c r="F17" s="2">
        <v>8</v>
      </c>
      <c r="G17" s="2">
        <v>16</v>
      </c>
      <c r="H17" s="2">
        <v>32</v>
      </c>
      <c r="I17" s="2">
        <v>64</v>
      </c>
    </row>
    <row r="18" spans="2:9" x14ac:dyDescent="0.3">
      <c r="B18" s="2" t="s">
        <v>0</v>
      </c>
      <c r="C18">
        <v>1.7529999999999999</v>
      </c>
      <c r="D18">
        <v>2.3570000000000002</v>
      </c>
      <c r="E18">
        <v>4.492</v>
      </c>
      <c r="F18">
        <v>4.0910000000000002</v>
      </c>
      <c r="G18">
        <v>4.5</v>
      </c>
      <c r="H18">
        <v>5.5010000000000003</v>
      </c>
      <c r="I18">
        <v>5.7480000000000002</v>
      </c>
    </row>
    <row r="19" spans="2:9" x14ac:dyDescent="0.3">
      <c r="B19" s="2" t="s">
        <v>1</v>
      </c>
      <c r="C19">
        <v>1.7909999999999999</v>
      </c>
      <c r="D19">
        <v>2.1709999999999998</v>
      </c>
      <c r="E19">
        <v>4.6970000000000001</v>
      </c>
      <c r="F19">
        <v>4.9379999999999997</v>
      </c>
      <c r="G19">
        <v>4.3620000000000001</v>
      </c>
      <c r="H19">
        <v>5.2560000000000002</v>
      </c>
      <c r="I19">
        <v>5.8860000000000001</v>
      </c>
    </row>
    <row r="20" spans="2:9" x14ac:dyDescent="0.3">
      <c r="B20" s="2" t="s">
        <v>2</v>
      </c>
      <c r="C20">
        <v>1.92</v>
      </c>
      <c r="D20">
        <v>2.3220000000000001</v>
      </c>
      <c r="E20">
        <v>4.4889999999999999</v>
      </c>
      <c r="F20">
        <v>4.9219999999999997</v>
      </c>
      <c r="G20">
        <v>4.8579999999999997</v>
      </c>
      <c r="H20">
        <v>5.7590000000000003</v>
      </c>
      <c r="I20">
        <v>5.7249999999999996</v>
      </c>
    </row>
    <row r="21" spans="2:9" x14ac:dyDescent="0.3">
      <c r="B21" s="2" t="s">
        <v>3</v>
      </c>
      <c r="C21">
        <v>1.758</v>
      </c>
      <c r="D21">
        <v>2.3769999999999998</v>
      </c>
      <c r="E21">
        <v>5.1920000000000002</v>
      </c>
      <c r="F21">
        <v>4.6420000000000003</v>
      </c>
      <c r="G21">
        <v>4.4050000000000002</v>
      </c>
      <c r="H21">
        <v>5.7320000000000002</v>
      </c>
      <c r="I21">
        <v>5.9119999999999999</v>
      </c>
    </row>
    <row r="22" spans="2:9" x14ac:dyDescent="0.3">
      <c r="B22" s="2" t="s">
        <v>4</v>
      </c>
      <c r="C22">
        <v>1.744</v>
      </c>
      <c r="D22">
        <v>2.4340000000000002</v>
      </c>
      <c r="E22">
        <v>5.1769999999999996</v>
      </c>
      <c r="F22">
        <v>4.4720000000000004</v>
      </c>
      <c r="G22">
        <v>4.83</v>
      </c>
      <c r="H22">
        <v>5.31</v>
      </c>
      <c r="I22">
        <v>5.6130000000000004</v>
      </c>
    </row>
    <row r="23" spans="2:9" x14ac:dyDescent="0.3">
      <c r="B23" s="2" t="s">
        <v>5</v>
      </c>
      <c r="C23" s="2">
        <f>AVERAGE(C18:C22)</f>
        <v>1.7931999999999999</v>
      </c>
      <c r="D23" s="2">
        <f t="shared" ref="D23:I23" si="1">AVERAGE(D18:D22)</f>
        <v>2.3322000000000003</v>
      </c>
      <c r="E23" s="2">
        <f t="shared" si="1"/>
        <v>4.8094000000000001</v>
      </c>
      <c r="F23" s="2">
        <f t="shared" si="1"/>
        <v>4.6130000000000004</v>
      </c>
      <c r="G23" s="2">
        <f t="shared" si="1"/>
        <v>4.5909999999999993</v>
      </c>
      <c r="H23" s="2">
        <f t="shared" si="1"/>
        <v>5.5115999999999996</v>
      </c>
      <c r="I23" s="2">
        <f t="shared" si="1"/>
        <v>5.7767999999999997</v>
      </c>
    </row>
    <row r="25" spans="2:9" x14ac:dyDescent="0.3">
      <c r="B25" s="6" t="s">
        <v>13</v>
      </c>
      <c r="C25" s="6"/>
      <c r="D25" s="6"/>
      <c r="E25" s="6"/>
      <c r="F25" s="6"/>
      <c r="G25" s="6"/>
      <c r="H25" s="6"/>
      <c r="I25" s="6"/>
    </row>
    <row r="26" spans="2:9" x14ac:dyDescent="0.3">
      <c r="B26" s="2" t="s">
        <v>8</v>
      </c>
      <c r="C26" s="2">
        <v>1</v>
      </c>
      <c r="D26" s="2">
        <v>2</v>
      </c>
      <c r="E26" s="2">
        <v>4</v>
      </c>
      <c r="F26" s="2">
        <v>8</v>
      </c>
      <c r="G26" s="2">
        <v>16</v>
      </c>
      <c r="H26" s="2">
        <v>32</v>
      </c>
      <c r="I26" s="2">
        <v>64</v>
      </c>
    </row>
    <row r="27" spans="2:9" x14ac:dyDescent="0.3">
      <c r="B27" s="2" t="s">
        <v>0</v>
      </c>
      <c r="C27">
        <v>55135.553</v>
      </c>
      <c r="D27">
        <v>34608.321000000004</v>
      </c>
      <c r="E27">
        <v>26933.631000000001</v>
      </c>
      <c r="F27">
        <v>26637.559000000001</v>
      </c>
      <c r="G27">
        <v>22369.967000000001</v>
      </c>
      <c r="H27">
        <v>21224.227999999999</v>
      </c>
      <c r="I27">
        <v>17277.966</v>
      </c>
    </row>
    <row r="28" spans="2:9" x14ac:dyDescent="0.3">
      <c r="B28" s="2" t="s">
        <v>1</v>
      </c>
      <c r="C28">
        <v>58039.718000000001</v>
      </c>
      <c r="D28">
        <v>34250.394</v>
      </c>
      <c r="E28">
        <v>25911.600999999999</v>
      </c>
      <c r="F28">
        <v>24763.311000000002</v>
      </c>
      <c r="G28">
        <v>22360.409</v>
      </c>
      <c r="H28">
        <v>19902.957999999999</v>
      </c>
      <c r="I28">
        <v>17001.105</v>
      </c>
    </row>
    <row r="29" spans="2:9" x14ac:dyDescent="0.3">
      <c r="B29" s="2" t="s">
        <v>2</v>
      </c>
      <c r="C29">
        <v>58031.705000000002</v>
      </c>
      <c r="D29">
        <v>34585.163999999997</v>
      </c>
      <c r="E29">
        <v>26171.608</v>
      </c>
      <c r="F29">
        <v>25588.162</v>
      </c>
      <c r="G29">
        <v>22412.996999999999</v>
      </c>
      <c r="H29">
        <v>21362.413</v>
      </c>
      <c r="I29">
        <v>16866.594000000001</v>
      </c>
    </row>
    <row r="30" spans="2:9" x14ac:dyDescent="0.3">
      <c r="B30" s="2" t="s">
        <v>3</v>
      </c>
      <c r="C30">
        <v>59157.631999999998</v>
      </c>
      <c r="D30">
        <v>36769.074000000001</v>
      </c>
      <c r="E30">
        <v>26612.492999999999</v>
      </c>
      <c r="F30">
        <v>25180.708999999999</v>
      </c>
      <c r="G30">
        <v>22201.760999999999</v>
      </c>
      <c r="H30">
        <v>20468.990000000002</v>
      </c>
      <c r="I30">
        <v>17001.608</v>
      </c>
    </row>
    <row r="31" spans="2:9" x14ac:dyDescent="0.3">
      <c r="B31" s="2" t="s">
        <v>4</v>
      </c>
      <c r="C31">
        <v>54413.574000000001</v>
      </c>
      <c r="D31">
        <v>35064.239000000001</v>
      </c>
      <c r="E31">
        <v>28042.958999999999</v>
      </c>
      <c r="F31">
        <v>27835.210999999999</v>
      </c>
      <c r="G31">
        <v>21884.262999999999</v>
      </c>
      <c r="H31">
        <v>20812.866000000002</v>
      </c>
      <c r="I31">
        <v>16926.793000000001</v>
      </c>
    </row>
    <row r="32" spans="2:9" x14ac:dyDescent="0.3">
      <c r="B32" s="2" t="s">
        <v>5</v>
      </c>
      <c r="C32" s="2">
        <f>AVERAGE(C27:C31)</f>
        <v>56955.636400000003</v>
      </c>
      <c r="D32" s="2">
        <f t="shared" ref="D32:I32" si="2">AVERAGE(D27:D31)</f>
        <v>35055.438399999999</v>
      </c>
      <c r="E32" s="2">
        <f t="shared" si="2"/>
        <v>26734.458399999996</v>
      </c>
      <c r="F32" s="2">
        <f t="shared" si="2"/>
        <v>26000.990400000002</v>
      </c>
      <c r="G32" s="2">
        <f t="shared" si="2"/>
        <v>22245.879399999998</v>
      </c>
      <c r="H32" s="2">
        <f t="shared" si="2"/>
        <v>20754.291000000005</v>
      </c>
      <c r="I32" s="2">
        <f t="shared" si="2"/>
        <v>17014.813199999997</v>
      </c>
    </row>
    <row r="34" spans="2:9" x14ac:dyDescent="0.3">
      <c r="B34" s="6" t="s">
        <v>14</v>
      </c>
      <c r="C34" s="6"/>
      <c r="D34" s="6"/>
      <c r="E34" s="6"/>
      <c r="F34" s="6"/>
      <c r="G34" s="6"/>
      <c r="H34" s="6"/>
      <c r="I34" s="6"/>
    </row>
    <row r="35" spans="2:9" x14ac:dyDescent="0.3">
      <c r="B35" s="2" t="s">
        <v>8</v>
      </c>
      <c r="C35" s="2">
        <v>1</v>
      </c>
      <c r="D35" s="2">
        <v>2</v>
      </c>
      <c r="E35" s="2">
        <v>4</v>
      </c>
      <c r="F35" s="2">
        <v>8</v>
      </c>
      <c r="G35" s="2">
        <v>16</v>
      </c>
      <c r="H35" s="2">
        <v>32</v>
      </c>
      <c r="I35" s="2">
        <v>64</v>
      </c>
    </row>
    <row r="36" spans="2:9" x14ac:dyDescent="0.3">
      <c r="B36" s="2" t="s">
        <v>0</v>
      </c>
      <c r="C36">
        <v>25.187999999999999</v>
      </c>
      <c r="D36">
        <v>29.509</v>
      </c>
      <c r="E36">
        <v>103.366</v>
      </c>
      <c r="F36">
        <v>128.024</v>
      </c>
      <c r="G36">
        <v>133.83199999999999</v>
      </c>
      <c r="H36">
        <v>123.077</v>
      </c>
      <c r="I36">
        <v>100.575</v>
      </c>
    </row>
    <row r="37" spans="2:9" x14ac:dyDescent="0.3">
      <c r="B37" s="2" t="s">
        <v>1</v>
      </c>
      <c r="C37">
        <v>27.443999999999999</v>
      </c>
      <c r="D37">
        <v>28.989000000000001</v>
      </c>
      <c r="E37">
        <v>96.844999999999999</v>
      </c>
      <c r="F37">
        <v>113.13800000000001</v>
      </c>
      <c r="G37">
        <v>133.739</v>
      </c>
      <c r="H37">
        <v>110.59099999999999</v>
      </c>
      <c r="I37">
        <v>97.902000000000001</v>
      </c>
    </row>
    <row r="38" spans="2:9" x14ac:dyDescent="0.3">
      <c r="B38" s="2" t="s">
        <v>2</v>
      </c>
      <c r="C38">
        <v>27.437999999999999</v>
      </c>
      <c r="D38">
        <v>29.475999999999999</v>
      </c>
      <c r="E38">
        <v>98.504000000000005</v>
      </c>
      <c r="F38">
        <v>119.68899999999999</v>
      </c>
      <c r="G38">
        <v>134.251</v>
      </c>
      <c r="H38">
        <v>124.383</v>
      </c>
      <c r="I38">
        <v>96.603999999999999</v>
      </c>
    </row>
    <row r="39" spans="2:9" x14ac:dyDescent="0.3">
      <c r="B39" s="2" t="s">
        <v>3</v>
      </c>
      <c r="C39">
        <v>28.312999999999999</v>
      </c>
      <c r="D39">
        <v>32.65</v>
      </c>
      <c r="E39">
        <v>101.31699999999999</v>
      </c>
      <c r="F39">
        <v>116.453</v>
      </c>
      <c r="G39">
        <v>132.19399999999999</v>
      </c>
      <c r="H39">
        <v>115.94</v>
      </c>
      <c r="I39">
        <v>97.906999999999996</v>
      </c>
    </row>
    <row r="40" spans="2:9" x14ac:dyDescent="0.3">
      <c r="B40" s="2" t="s">
        <v>4</v>
      </c>
      <c r="C40">
        <v>24.626999999999999</v>
      </c>
      <c r="D40">
        <v>30.172000000000001</v>
      </c>
      <c r="E40">
        <v>110.44499999999999</v>
      </c>
      <c r="F40">
        <v>137.536</v>
      </c>
      <c r="G40">
        <v>129.102</v>
      </c>
      <c r="H40">
        <v>119.19</v>
      </c>
      <c r="I40">
        <v>97.185000000000002</v>
      </c>
    </row>
    <row r="41" spans="2:9" x14ac:dyDescent="0.3">
      <c r="B41" s="2" t="s">
        <v>5</v>
      </c>
      <c r="C41" s="2">
        <f>AVERAGE(C36:C40)</f>
        <v>26.601999999999997</v>
      </c>
      <c r="D41" s="2">
        <f t="shared" ref="D41:I41" si="3">AVERAGE(D36:D40)</f>
        <v>30.159199999999998</v>
      </c>
      <c r="E41" s="2">
        <f t="shared" si="3"/>
        <v>102.09540000000001</v>
      </c>
      <c r="F41" s="2">
        <f t="shared" si="3"/>
        <v>122.96799999999999</v>
      </c>
      <c r="G41" s="2">
        <f t="shared" si="3"/>
        <v>132.62359999999998</v>
      </c>
      <c r="H41" s="2">
        <f t="shared" si="3"/>
        <v>118.6362</v>
      </c>
      <c r="I41" s="2">
        <f t="shared" si="3"/>
        <v>98.034599999999998</v>
      </c>
    </row>
    <row r="43" spans="2:9" x14ac:dyDescent="0.3">
      <c r="B43" s="6" t="s">
        <v>21</v>
      </c>
      <c r="C43" s="6"/>
      <c r="D43" s="6"/>
      <c r="E43" s="6"/>
      <c r="F43" s="6"/>
      <c r="G43" s="6"/>
      <c r="H43" s="6"/>
      <c r="I43" s="6"/>
    </row>
    <row r="44" spans="2:9" x14ac:dyDescent="0.3">
      <c r="B44" s="2" t="s">
        <v>8</v>
      </c>
      <c r="C44" s="2">
        <v>1</v>
      </c>
      <c r="D44" s="2">
        <v>2</v>
      </c>
      <c r="E44" s="2">
        <v>4</v>
      </c>
      <c r="F44" s="2">
        <v>8</v>
      </c>
      <c r="G44" s="2">
        <v>16</v>
      </c>
      <c r="H44" s="2">
        <v>32</v>
      </c>
      <c r="I44" s="2">
        <v>64</v>
      </c>
    </row>
    <row r="45" spans="2:9" x14ac:dyDescent="0.3">
      <c r="B45" s="2" t="s">
        <v>0</v>
      </c>
      <c r="C45">
        <v>59924.1</v>
      </c>
      <c r="D45">
        <v>34897.199999999997</v>
      </c>
      <c r="E45">
        <v>28733.4</v>
      </c>
      <c r="F45">
        <v>24431.1</v>
      </c>
      <c r="G45">
        <v>22472.1</v>
      </c>
      <c r="H45">
        <v>18198.099999999999</v>
      </c>
      <c r="I45">
        <v>18194.2</v>
      </c>
    </row>
    <row r="46" spans="2:9" x14ac:dyDescent="0.3">
      <c r="B46" s="2" t="s">
        <v>1</v>
      </c>
      <c r="C46">
        <v>60381.599999999999</v>
      </c>
      <c r="D46">
        <v>35349.9</v>
      </c>
      <c r="E46">
        <v>29210.7</v>
      </c>
      <c r="F46">
        <v>24789.3</v>
      </c>
      <c r="G46">
        <v>22951.4</v>
      </c>
      <c r="H46">
        <v>18632.400000000001</v>
      </c>
      <c r="I46">
        <v>18332.7</v>
      </c>
    </row>
    <row r="47" spans="2:9" x14ac:dyDescent="0.3">
      <c r="B47" s="2" t="s">
        <v>2</v>
      </c>
      <c r="C47">
        <v>59112.5</v>
      </c>
      <c r="D47">
        <v>34058.300000000003</v>
      </c>
      <c r="E47">
        <v>28029.1</v>
      </c>
      <c r="F47">
        <v>24172.799999999999</v>
      </c>
      <c r="G47">
        <v>21887.599999999999</v>
      </c>
      <c r="H47">
        <v>17773.5</v>
      </c>
      <c r="I47">
        <v>18018.3</v>
      </c>
    </row>
    <row r="48" spans="2:9" x14ac:dyDescent="0.3">
      <c r="B48" s="2" t="s">
        <v>3</v>
      </c>
      <c r="C48">
        <v>60742.3</v>
      </c>
      <c r="D48">
        <v>35577.4</v>
      </c>
      <c r="E48">
        <v>29356.799999999999</v>
      </c>
      <c r="F48">
        <v>24618.7</v>
      </c>
      <c r="G48">
        <v>22311.200000000001</v>
      </c>
      <c r="H48">
        <v>18461.8</v>
      </c>
      <c r="I48">
        <v>18544.099999999999</v>
      </c>
    </row>
    <row r="49" spans="2:9" x14ac:dyDescent="0.3">
      <c r="B49" s="2" t="s">
        <v>4</v>
      </c>
      <c r="C49">
        <v>59602.8</v>
      </c>
      <c r="D49">
        <v>34692.1</v>
      </c>
      <c r="E49">
        <v>28640.5</v>
      </c>
      <c r="F49">
        <v>24287.9</v>
      </c>
      <c r="G49">
        <v>22504.9</v>
      </c>
      <c r="H49">
        <v>18225.900000000001</v>
      </c>
      <c r="I49">
        <v>18263.599999999999</v>
      </c>
    </row>
    <row r="50" spans="2:9" x14ac:dyDescent="0.3">
      <c r="B50" s="2" t="s">
        <v>5</v>
      </c>
      <c r="C50" s="2">
        <f>AVERAGE(C45:C49)</f>
        <v>59952.659999999996</v>
      </c>
      <c r="D50" s="2">
        <f t="shared" ref="D50:I50" si="4">AVERAGE(D45:D49)</f>
        <v>34914.980000000003</v>
      </c>
      <c r="E50" s="2">
        <f t="shared" si="4"/>
        <v>28794.1</v>
      </c>
      <c r="F50" s="2">
        <f t="shared" si="4"/>
        <v>24459.96</v>
      </c>
      <c r="G50" s="2">
        <f t="shared" si="4"/>
        <v>22425.440000000002</v>
      </c>
      <c r="H50" s="2">
        <f t="shared" si="4"/>
        <v>18258.340000000004</v>
      </c>
      <c r="I50" s="2">
        <f t="shared" si="4"/>
        <v>18270.579999999998</v>
      </c>
    </row>
    <row r="52" spans="2:9" x14ac:dyDescent="0.3">
      <c r="B52" s="6" t="s">
        <v>22</v>
      </c>
      <c r="C52" s="6"/>
      <c r="D52" s="6"/>
      <c r="E52" s="6"/>
      <c r="F52" s="6"/>
      <c r="G52" s="6"/>
      <c r="H52" s="6"/>
      <c r="I52" s="6"/>
    </row>
    <row r="53" spans="2:9" x14ac:dyDescent="0.3">
      <c r="B53" s="2" t="s">
        <v>8</v>
      </c>
      <c r="C53" s="2">
        <v>1</v>
      </c>
      <c r="D53" s="2">
        <v>2</v>
      </c>
      <c r="E53" s="2">
        <v>4</v>
      </c>
      <c r="F53" s="2">
        <v>8</v>
      </c>
      <c r="G53" s="2">
        <v>16</v>
      </c>
      <c r="H53" s="2">
        <v>32</v>
      </c>
      <c r="I53" s="2">
        <v>64</v>
      </c>
    </row>
    <row r="54" spans="2:9" x14ac:dyDescent="0.3">
      <c r="B54" s="2" t="s">
        <v>0</v>
      </c>
      <c r="C54">
        <v>2.6635</v>
      </c>
      <c r="D54">
        <v>3.1490999999999998</v>
      </c>
      <c r="E54">
        <v>5.1195000000000004</v>
      </c>
      <c r="F54">
        <v>5.4715999999999996</v>
      </c>
      <c r="G54">
        <v>6.7897999999999996</v>
      </c>
      <c r="H54">
        <v>5.6473000000000004</v>
      </c>
      <c r="I54">
        <v>6.1466000000000003</v>
      </c>
    </row>
    <row r="55" spans="2:9" x14ac:dyDescent="0.3">
      <c r="B55" s="2" t="s">
        <v>1</v>
      </c>
      <c r="C55">
        <v>2.7042000000000002</v>
      </c>
      <c r="D55">
        <v>3.2138</v>
      </c>
      <c r="E55">
        <v>5.2878999999999996</v>
      </c>
      <c r="F55">
        <v>5.6021000000000001</v>
      </c>
      <c r="G55">
        <v>6.9123999999999999</v>
      </c>
      <c r="H55">
        <v>5.6889000000000003</v>
      </c>
      <c r="I55">
        <v>6.2173999999999996</v>
      </c>
    </row>
    <row r="56" spans="2:9" x14ac:dyDescent="0.3">
      <c r="B56" s="2" t="s">
        <v>2</v>
      </c>
      <c r="C56">
        <v>2.6511</v>
      </c>
      <c r="D56">
        <v>3.0876000000000001</v>
      </c>
      <c r="E56">
        <v>5.0612000000000004</v>
      </c>
      <c r="F56">
        <v>5.3840000000000003</v>
      </c>
      <c r="G56">
        <v>6.7015000000000002</v>
      </c>
      <c r="H56">
        <v>5.8987999999999996</v>
      </c>
      <c r="I56">
        <v>6.0896999999999997</v>
      </c>
    </row>
    <row r="57" spans="2:9" x14ac:dyDescent="0.3">
      <c r="B57" s="2" t="s">
        <v>3</v>
      </c>
      <c r="C57">
        <v>2.7326999999999999</v>
      </c>
      <c r="D57">
        <v>3.2458999999999998</v>
      </c>
      <c r="E57">
        <v>5.3414999999999999</v>
      </c>
      <c r="F57">
        <v>5.5332999999999997</v>
      </c>
      <c r="G57">
        <v>6.8541999999999996</v>
      </c>
      <c r="H57">
        <v>5.9295</v>
      </c>
      <c r="I57">
        <v>6.2568000000000001</v>
      </c>
    </row>
    <row r="58" spans="2:9" x14ac:dyDescent="0.3">
      <c r="B58" s="2" t="s">
        <v>4</v>
      </c>
      <c r="C58">
        <v>2.6842999999999999</v>
      </c>
      <c r="D58">
        <v>3.1714000000000002</v>
      </c>
      <c r="E58">
        <v>5.2057000000000002</v>
      </c>
      <c r="F58">
        <v>5.4598000000000004</v>
      </c>
      <c r="G58">
        <v>6.7809999999999997</v>
      </c>
      <c r="H58">
        <v>5.7746000000000004</v>
      </c>
      <c r="I58">
        <v>6.1981000000000002</v>
      </c>
    </row>
    <row r="59" spans="2:9" x14ac:dyDescent="0.3">
      <c r="B59" s="2" t="s">
        <v>5</v>
      </c>
      <c r="C59" s="2">
        <f>AVERAGE(C54:C58)</f>
        <v>2.68716</v>
      </c>
      <c r="D59" s="2">
        <f t="shared" ref="D59:I59" si="5">AVERAGE(D54:D58)</f>
        <v>3.1735600000000002</v>
      </c>
      <c r="E59" s="2">
        <f t="shared" si="5"/>
        <v>5.2031599999999996</v>
      </c>
      <c r="F59" s="2">
        <f t="shared" si="5"/>
        <v>5.4901600000000004</v>
      </c>
      <c r="G59" s="2">
        <f t="shared" si="5"/>
        <v>6.8077799999999993</v>
      </c>
      <c r="H59" s="2">
        <f t="shared" si="5"/>
        <v>5.78782</v>
      </c>
      <c r="I59" s="2">
        <f t="shared" si="5"/>
        <v>6.1817200000000003</v>
      </c>
    </row>
  </sheetData>
  <mergeCells count="6">
    <mergeCell ref="B52:I52"/>
    <mergeCell ref="B6:I6"/>
    <mergeCell ref="B16:I16"/>
    <mergeCell ref="B25:I25"/>
    <mergeCell ref="B34:I34"/>
    <mergeCell ref="B43:I43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C06BA-E605-47C3-A192-9B981548DB98}">
  <dimension ref="B6:I59"/>
  <sheetViews>
    <sheetView zoomScale="85" zoomScaleNormal="85" workbookViewId="0">
      <selection activeCell="F67" sqref="F67"/>
    </sheetView>
  </sheetViews>
  <sheetFormatPr defaultRowHeight="14.4" x14ac:dyDescent="0.3"/>
  <cols>
    <col min="2" max="2" width="13.109375" customWidth="1"/>
    <col min="3" max="9" width="10.33203125" customWidth="1"/>
  </cols>
  <sheetData>
    <row r="6" spans="2:9" x14ac:dyDescent="0.3">
      <c r="B6" s="6" t="s">
        <v>15</v>
      </c>
      <c r="C6" s="6"/>
      <c r="D6" s="6"/>
      <c r="E6" s="6"/>
      <c r="F6" s="6"/>
      <c r="G6" s="6"/>
      <c r="H6" s="6"/>
      <c r="I6" s="6"/>
    </row>
    <row r="7" spans="2:9" x14ac:dyDescent="0.3">
      <c r="B7" s="2" t="s">
        <v>8</v>
      </c>
      <c r="C7" s="2">
        <v>1</v>
      </c>
      <c r="D7" s="2">
        <v>2</v>
      </c>
      <c r="E7" s="2">
        <v>4</v>
      </c>
      <c r="F7" s="2">
        <v>8</v>
      </c>
      <c r="G7" s="2">
        <v>16</v>
      </c>
      <c r="H7" s="2">
        <v>32</v>
      </c>
      <c r="I7" s="2">
        <v>64</v>
      </c>
    </row>
    <row r="8" spans="2:9" x14ac:dyDescent="0.3">
      <c r="B8" s="2" t="s">
        <v>0</v>
      </c>
      <c r="C8" s="1">
        <v>92483.4</v>
      </c>
      <c r="D8" s="1">
        <v>70293.100000000006</v>
      </c>
      <c r="E8" s="1">
        <v>52468.2</v>
      </c>
      <c r="F8" s="1">
        <v>39651.5</v>
      </c>
      <c r="G8" s="1">
        <v>37959.199999999997</v>
      </c>
      <c r="H8" s="1">
        <v>35683.5</v>
      </c>
      <c r="I8" s="1">
        <v>28986.400000000001</v>
      </c>
    </row>
    <row r="9" spans="2:9" x14ac:dyDescent="0.3">
      <c r="B9" s="2" t="s">
        <v>1</v>
      </c>
      <c r="C9" s="1">
        <v>92301.7</v>
      </c>
      <c r="D9" s="1">
        <v>69411.600000000006</v>
      </c>
      <c r="E9" s="1">
        <v>53820.4</v>
      </c>
      <c r="F9" s="1">
        <v>40821.199999999997</v>
      </c>
      <c r="G9" s="1">
        <v>38214</v>
      </c>
      <c r="H9" s="1">
        <v>36101.800000000003</v>
      </c>
      <c r="I9" s="1">
        <v>29287.9</v>
      </c>
    </row>
    <row r="10" spans="2:9" x14ac:dyDescent="0.3">
      <c r="B10" s="2" t="s">
        <v>2</v>
      </c>
      <c r="C10" s="1">
        <v>92677.9</v>
      </c>
      <c r="D10" s="1">
        <v>71129.399999999994</v>
      </c>
      <c r="E10" s="1">
        <v>51392</v>
      </c>
      <c r="F10" s="1">
        <v>38990.1</v>
      </c>
      <c r="G10" s="1">
        <v>37774.300000000003</v>
      </c>
      <c r="H10" s="1">
        <v>35107.199999999997</v>
      </c>
      <c r="I10" s="1">
        <v>29105.5</v>
      </c>
    </row>
    <row r="11" spans="2:9" x14ac:dyDescent="0.3">
      <c r="B11" s="2" t="s">
        <v>3</v>
      </c>
      <c r="C11" s="1">
        <v>91822.3</v>
      </c>
      <c r="D11" s="1">
        <v>69783.5</v>
      </c>
      <c r="E11" s="1">
        <v>52206.7</v>
      </c>
      <c r="F11" s="1">
        <v>39412.800000000003</v>
      </c>
      <c r="G11" s="1">
        <v>38122.9</v>
      </c>
      <c r="H11" s="1">
        <v>35355.4</v>
      </c>
      <c r="I11" s="1">
        <v>28794.1</v>
      </c>
    </row>
    <row r="12" spans="2:9" x14ac:dyDescent="0.3">
      <c r="B12" s="2" t="s">
        <v>4</v>
      </c>
      <c r="C12" s="1">
        <v>93531.6</v>
      </c>
      <c r="D12" s="1">
        <v>70457.899999999994</v>
      </c>
      <c r="E12" s="1">
        <v>52514.1</v>
      </c>
      <c r="F12" s="1">
        <v>40173.9</v>
      </c>
      <c r="G12" s="1">
        <v>37562.699999999997</v>
      </c>
      <c r="H12" s="1">
        <v>36210.400000000001</v>
      </c>
      <c r="I12" s="1">
        <v>29368.6</v>
      </c>
    </row>
    <row r="13" spans="2:9" x14ac:dyDescent="0.3">
      <c r="B13" s="2" t="s">
        <v>5</v>
      </c>
      <c r="C13" s="3">
        <f>AVERAGE(C8:C12)</f>
        <v>92563.38</v>
      </c>
      <c r="D13" s="3">
        <f t="shared" ref="D13:I13" si="0">AVERAGE(D8:D12)</f>
        <v>70215.100000000006</v>
      </c>
      <c r="E13" s="3">
        <f t="shared" si="0"/>
        <v>52480.279999999992</v>
      </c>
      <c r="F13" s="3">
        <f t="shared" si="0"/>
        <v>39809.899999999994</v>
      </c>
      <c r="G13" s="3">
        <f t="shared" si="0"/>
        <v>37926.619999999995</v>
      </c>
      <c r="H13" s="3">
        <f t="shared" si="0"/>
        <v>35691.659999999996</v>
      </c>
      <c r="I13" s="3">
        <f t="shared" si="0"/>
        <v>29108.5</v>
      </c>
    </row>
    <row r="16" spans="2:9" x14ac:dyDescent="0.3">
      <c r="B16" s="6" t="s">
        <v>16</v>
      </c>
      <c r="C16" s="6"/>
      <c r="D16" s="6"/>
      <c r="E16" s="6"/>
      <c r="F16" s="6"/>
      <c r="G16" s="6"/>
      <c r="H16" s="6"/>
      <c r="I16" s="6"/>
    </row>
    <row r="17" spans="2:9" x14ac:dyDescent="0.3">
      <c r="B17" s="2" t="s">
        <v>8</v>
      </c>
      <c r="C17" s="2">
        <v>1</v>
      </c>
      <c r="D17" s="2">
        <v>2</v>
      </c>
      <c r="E17" s="2">
        <v>4</v>
      </c>
      <c r="F17" s="2">
        <v>8</v>
      </c>
      <c r="G17" s="2">
        <v>16</v>
      </c>
      <c r="H17" s="2">
        <v>32</v>
      </c>
      <c r="I17" s="2">
        <v>64</v>
      </c>
    </row>
    <row r="18" spans="2:9" x14ac:dyDescent="0.3">
      <c r="B18" s="2" t="s">
        <v>0</v>
      </c>
      <c r="C18">
        <v>4.4048999999999996</v>
      </c>
      <c r="D18">
        <v>5.3465999999999996</v>
      </c>
      <c r="E18">
        <v>7.2606999999999999</v>
      </c>
      <c r="F18">
        <v>11.096500000000001</v>
      </c>
      <c r="G18">
        <v>12.3949</v>
      </c>
      <c r="H18">
        <v>11.091100000000001</v>
      </c>
      <c r="I18">
        <v>11.247199999999999</v>
      </c>
    </row>
    <row r="19" spans="2:9" x14ac:dyDescent="0.3">
      <c r="B19" s="2" t="s">
        <v>1</v>
      </c>
      <c r="C19">
        <v>4.5121000000000002</v>
      </c>
      <c r="D19">
        <v>5.1924000000000001</v>
      </c>
      <c r="E19">
        <v>7.3112000000000004</v>
      </c>
      <c r="F19">
        <v>11.5427</v>
      </c>
      <c r="G19">
        <v>12.0083</v>
      </c>
      <c r="H19">
        <v>11.3058</v>
      </c>
      <c r="I19">
        <v>11.410299999999999</v>
      </c>
    </row>
    <row r="20" spans="2:9" x14ac:dyDescent="0.3">
      <c r="B20" s="2" t="s">
        <v>2</v>
      </c>
      <c r="C20">
        <v>4.3864999999999998</v>
      </c>
      <c r="D20">
        <v>5.3792</v>
      </c>
      <c r="E20">
        <v>7.2019000000000002</v>
      </c>
      <c r="F20">
        <v>10.9046</v>
      </c>
      <c r="G20">
        <v>12.667400000000001</v>
      </c>
      <c r="H20">
        <v>10.9887</v>
      </c>
      <c r="I20">
        <v>11.3256</v>
      </c>
    </row>
    <row r="21" spans="2:9" x14ac:dyDescent="0.3">
      <c r="B21" s="2" t="s">
        <v>3</v>
      </c>
      <c r="C21">
        <v>4.5688000000000004</v>
      </c>
      <c r="D21">
        <v>5.4237000000000002</v>
      </c>
      <c r="E21">
        <v>7.4382000000000001</v>
      </c>
      <c r="F21">
        <v>11.2874</v>
      </c>
      <c r="G21">
        <v>12.423500000000001</v>
      </c>
      <c r="H21">
        <v>11.1195</v>
      </c>
      <c r="I21">
        <v>10.9977</v>
      </c>
    </row>
    <row r="22" spans="2:9" x14ac:dyDescent="0.3">
      <c r="B22" s="2" t="s">
        <v>4</v>
      </c>
      <c r="C22">
        <v>4.4912000000000001</v>
      </c>
      <c r="D22">
        <v>5.2911000000000001</v>
      </c>
      <c r="E22">
        <v>7.335</v>
      </c>
      <c r="F22">
        <v>11.0168</v>
      </c>
      <c r="G22">
        <v>12.519</v>
      </c>
      <c r="H22">
        <v>11.2643</v>
      </c>
      <c r="I22">
        <v>11.386100000000001</v>
      </c>
    </row>
    <row r="23" spans="2:9" x14ac:dyDescent="0.3">
      <c r="B23" s="2" t="s">
        <v>5</v>
      </c>
      <c r="C23" s="2">
        <f>AVERAGE(C18:C22)</f>
        <v>4.4726999999999997</v>
      </c>
      <c r="D23" s="2">
        <f t="shared" ref="D23:I23" si="1">AVERAGE(D18:D22)</f>
        <v>5.3266</v>
      </c>
      <c r="E23" s="2">
        <f t="shared" si="1"/>
        <v>7.309400000000001</v>
      </c>
      <c r="F23" s="2">
        <f t="shared" si="1"/>
        <v>11.169599999999999</v>
      </c>
      <c r="G23" s="2">
        <f t="shared" si="1"/>
        <v>12.402620000000001</v>
      </c>
      <c r="H23" s="2">
        <f t="shared" si="1"/>
        <v>11.153880000000001</v>
      </c>
      <c r="I23" s="2">
        <f t="shared" si="1"/>
        <v>11.27338</v>
      </c>
    </row>
    <row r="25" spans="2:9" x14ac:dyDescent="0.3">
      <c r="B25" s="6" t="s">
        <v>17</v>
      </c>
      <c r="C25" s="6"/>
      <c r="D25" s="6"/>
      <c r="E25" s="6"/>
      <c r="F25" s="6"/>
      <c r="G25" s="6"/>
      <c r="H25" s="6"/>
      <c r="I25" s="6"/>
    </row>
    <row r="26" spans="2:9" x14ac:dyDescent="0.3">
      <c r="B26" s="2" t="s">
        <v>8</v>
      </c>
      <c r="C26" s="2">
        <v>1</v>
      </c>
      <c r="D26" s="2">
        <v>2</v>
      </c>
      <c r="E26" s="2">
        <v>4</v>
      </c>
      <c r="F26" s="2">
        <v>8</v>
      </c>
      <c r="G26" s="2">
        <v>16</v>
      </c>
      <c r="H26" s="2">
        <v>32</v>
      </c>
      <c r="I26" s="2">
        <v>64</v>
      </c>
    </row>
    <row r="27" spans="2:9" x14ac:dyDescent="0.3">
      <c r="B27" s="2" t="s">
        <v>0</v>
      </c>
      <c r="C27">
        <v>134952</v>
      </c>
      <c r="D27">
        <v>92564.800000000003</v>
      </c>
      <c r="E27">
        <v>54210.5</v>
      </c>
      <c r="F27">
        <v>42434.5</v>
      </c>
      <c r="G27">
        <v>36443.599999999999</v>
      </c>
      <c r="H27">
        <v>33722.300000000003</v>
      </c>
      <c r="I27">
        <v>33296.699999999997</v>
      </c>
    </row>
    <row r="28" spans="2:9" x14ac:dyDescent="0.3">
      <c r="B28" s="2" t="s">
        <v>1</v>
      </c>
      <c r="C28">
        <v>135780</v>
      </c>
      <c r="D28">
        <v>93112.2</v>
      </c>
      <c r="E28">
        <v>55362.8</v>
      </c>
      <c r="F28">
        <v>41698.699999999997</v>
      </c>
      <c r="G28">
        <v>37201.9</v>
      </c>
      <c r="H28">
        <v>34110.800000000003</v>
      </c>
      <c r="I28">
        <v>32984.1</v>
      </c>
    </row>
    <row r="29" spans="2:9" x14ac:dyDescent="0.3">
      <c r="B29" s="2" t="s">
        <v>2</v>
      </c>
      <c r="C29">
        <v>133894</v>
      </c>
      <c r="D29">
        <v>91831.6</v>
      </c>
      <c r="E29">
        <v>53107.4</v>
      </c>
      <c r="F29">
        <v>43102.5</v>
      </c>
      <c r="G29">
        <v>35987.4</v>
      </c>
      <c r="H29">
        <v>33397.599999999999</v>
      </c>
      <c r="I29">
        <v>33529.199999999997</v>
      </c>
    </row>
    <row r="30" spans="2:9" x14ac:dyDescent="0.3">
      <c r="B30" s="2" t="s">
        <v>3</v>
      </c>
      <c r="C30">
        <v>135120</v>
      </c>
      <c r="D30">
        <v>92988.5</v>
      </c>
      <c r="E30">
        <v>54790.3</v>
      </c>
      <c r="F30">
        <v>42783.6</v>
      </c>
      <c r="G30">
        <v>36680.5</v>
      </c>
      <c r="H30">
        <v>33822.400000000001</v>
      </c>
      <c r="I30">
        <v>32876.800000000003</v>
      </c>
    </row>
    <row r="31" spans="2:9" x14ac:dyDescent="0.3">
      <c r="B31" s="2" t="s">
        <v>4</v>
      </c>
      <c r="C31">
        <v>134501</v>
      </c>
      <c r="D31">
        <v>92130.4</v>
      </c>
      <c r="E31">
        <v>53844.2</v>
      </c>
      <c r="F31">
        <v>42066.1</v>
      </c>
      <c r="G31">
        <v>36219.699999999997</v>
      </c>
      <c r="H31">
        <v>33540.9</v>
      </c>
      <c r="I31">
        <v>33483.5</v>
      </c>
    </row>
    <row r="32" spans="2:9" x14ac:dyDescent="0.3">
      <c r="B32" s="2" t="s">
        <v>5</v>
      </c>
      <c r="C32" s="2">
        <f>AVERAGE(C27:C31)</f>
        <v>134849.4</v>
      </c>
      <c r="D32" s="2">
        <f t="shared" ref="D32:I32" si="2">AVERAGE(D27:D31)</f>
        <v>92525.5</v>
      </c>
      <c r="E32" s="2">
        <f t="shared" si="2"/>
        <v>54263.040000000001</v>
      </c>
      <c r="F32" s="2">
        <f t="shared" si="2"/>
        <v>42417.08</v>
      </c>
      <c r="G32" s="2">
        <f t="shared" si="2"/>
        <v>36506.619999999995</v>
      </c>
      <c r="H32" s="2">
        <f t="shared" si="2"/>
        <v>33718.800000000003</v>
      </c>
      <c r="I32" s="2">
        <f t="shared" si="2"/>
        <v>33234.06</v>
      </c>
    </row>
    <row r="34" spans="2:9" x14ac:dyDescent="0.3">
      <c r="B34" s="6" t="s">
        <v>18</v>
      </c>
      <c r="C34" s="6"/>
      <c r="D34" s="6"/>
      <c r="E34" s="6"/>
      <c r="F34" s="6"/>
      <c r="G34" s="6"/>
      <c r="H34" s="6"/>
      <c r="I34" s="6"/>
    </row>
    <row r="35" spans="2:9" x14ac:dyDescent="0.3">
      <c r="B35" s="2" t="s">
        <v>8</v>
      </c>
      <c r="C35" s="2">
        <v>1</v>
      </c>
      <c r="D35" s="2">
        <v>2</v>
      </c>
      <c r="E35" s="2">
        <v>4</v>
      </c>
      <c r="F35" s="2">
        <v>8</v>
      </c>
      <c r="G35" s="2">
        <v>16</v>
      </c>
      <c r="H35" s="2">
        <v>32</v>
      </c>
      <c r="I35" s="2">
        <v>64</v>
      </c>
    </row>
    <row r="36" spans="2:9" x14ac:dyDescent="0.3">
      <c r="B36" s="2" t="s">
        <v>0</v>
      </c>
      <c r="C36">
        <v>78.399799999999999</v>
      </c>
      <c r="D36">
        <v>98.245000000000005</v>
      </c>
      <c r="E36">
        <v>94.395899999999997</v>
      </c>
      <c r="F36">
        <v>160.33099999999999</v>
      </c>
      <c r="G36">
        <v>275.33600000000001</v>
      </c>
      <c r="H36">
        <v>311.55599999999998</v>
      </c>
      <c r="I36">
        <v>654.59799999999996</v>
      </c>
    </row>
    <row r="37" spans="2:9" x14ac:dyDescent="0.3">
      <c r="B37" s="2" t="s">
        <v>1</v>
      </c>
      <c r="C37">
        <v>79.210300000000004</v>
      </c>
      <c r="D37">
        <v>97.111999999999995</v>
      </c>
      <c r="E37">
        <v>91.842699999999994</v>
      </c>
      <c r="F37">
        <v>158.245</v>
      </c>
      <c r="G37">
        <v>273.90800000000002</v>
      </c>
      <c r="H37">
        <v>304.774</v>
      </c>
      <c r="I37">
        <v>645.928</v>
      </c>
    </row>
    <row r="38" spans="2:9" x14ac:dyDescent="0.3">
      <c r="B38" s="2" t="s">
        <v>2</v>
      </c>
      <c r="C38">
        <v>77.504099999999994</v>
      </c>
      <c r="D38">
        <v>99.584000000000003</v>
      </c>
      <c r="E38">
        <v>96.122399999999999</v>
      </c>
      <c r="F38">
        <v>163.017</v>
      </c>
      <c r="G38">
        <v>270.41399999999999</v>
      </c>
      <c r="H38">
        <v>315.02100000000002</v>
      </c>
      <c r="I38">
        <v>662.74400000000003</v>
      </c>
    </row>
    <row r="39" spans="2:9" x14ac:dyDescent="0.3">
      <c r="B39" s="2" t="s">
        <v>3</v>
      </c>
      <c r="C39">
        <v>78.963499999999996</v>
      </c>
      <c r="D39">
        <v>98.766000000000005</v>
      </c>
      <c r="E39">
        <v>95.577799999999996</v>
      </c>
      <c r="F39">
        <v>159.44200000000001</v>
      </c>
      <c r="G39">
        <v>279.10300000000001</v>
      </c>
      <c r="H39">
        <v>308.517</v>
      </c>
      <c r="I39">
        <v>649.33000000000004</v>
      </c>
    </row>
    <row r="40" spans="2:9" x14ac:dyDescent="0.3">
      <c r="B40" s="2" t="s">
        <v>4</v>
      </c>
      <c r="C40">
        <v>76.885199999999998</v>
      </c>
      <c r="D40">
        <v>96.902000000000001</v>
      </c>
      <c r="E40">
        <v>93.718900000000005</v>
      </c>
      <c r="F40">
        <v>161.89099999999999</v>
      </c>
      <c r="G40">
        <v>272.01900000000001</v>
      </c>
      <c r="H40">
        <v>313.00799999999998</v>
      </c>
      <c r="I40">
        <v>658.11199999999997</v>
      </c>
    </row>
    <row r="41" spans="2:9" x14ac:dyDescent="0.3">
      <c r="B41" s="2" t="s">
        <v>5</v>
      </c>
      <c r="C41" s="2">
        <f>AVERAGE(C36:C40)</f>
        <v>78.192579999999992</v>
      </c>
      <c r="D41" s="2">
        <f t="shared" ref="D41:I41" si="3">AVERAGE(D36:D40)</f>
        <v>98.121800000000007</v>
      </c>
      <c r="E41" s="2">
        <f t="shared" si="3"/>
        <v>94.331540000000004</v>
      </c>
      <c r="F41" s="2">
        <f t="shared" si="3"/>
        <v>160.58520000000001</v>
      </c>
      <c r="G41" s="2">
        <f t="shared" si="3"/>
        <v>274.15600000000001</v>
      </c>
      <c r="H41" s="2">
        <f t="shared" si="3"/>
        <v>310.5752</v>
      </c>
      <c r="I41" s="2">
        <f t="shared" si="3"/>
        <v>654.14239999999995</v>
      </c>
    </row>
    <row r="43" spans="2:9" x14ac:dyDescent="0.3">
      <c r="B43" s="6" t="s">
        <v>23</v>
      </c>
      <c r="C43" s="6"/>
      <c r="D43" s="6"/>
      <c r="E43" s="6"/>
      <c r="F43" s="6"/>
      <c r="G43" s="6"/>
      <c r="H43" s="6"/>
      <c r="I43" s="6"/>
    </row>
    <row r="44" spans="2:9" x14ac:dyDescent="0.3">
      <c r="B44" s="2" t="s">
        <v>8</v>
      </c>
      <c r="C44" s="2">
        <v>1</v>
      </c>
      <c r="D44" s="2">
        <v>2</v>
      </c>
      <c r="E44" s="2">
        <v>4</v>
      </c>
      <c r="F44" s="2">
        <v>8</v>
      </c>
      <c r="G44" s="2">
        <v>16</v>
      </c>
      <c r="H44" s="2">
        <v>32</v>
      </c>
      <c r="I44" s="2">
        <v>64</v>
      </c>
    </row>
    <row r="45" spans="2:9" x14ac:dyDescent="0.3">
      <c r="B45" s="2" t="s">
        <v>0</v>
      </c>
      <c r="C45">
        <v>100814</v>
      </c>
      <c r="D45">
        <v>71637.8</v>
      </c>
      <c r="E45">
        <v>53476.800000000003</v>
      </c>
      <c r="F45">
        <v>44149</v>
      </c>
      <c r="G45">
        <v>35505.800000000003</v>
      </c>
      <c r="H45">
        <v>35938.800000000003</v>
      </c>
      <c r="I45">
        <v>33454.199999999997</v>
      </c>
    </row>
    <row r="46" spans="2:9" x14ac:dyDescent="0.3">
      <c r="B46" s="2" t="s">
        <v>1</v>
      </c>
      <c r="C46">
        <v>101902.5</v>
      </c>
      <c r="D46">
        <v>72988.3</v>
      </c>
      <c r="E46">
        <v>54621.4</v>
      </c>
      <c r="F46">
        <v>44892.7</v>
      </c>
      <c r="G46">
        <v>36272.1</v>
      </c>
      <c r="H46">
        <v>36514.6</v>
      </c>
      <c r="I46">
        <v>33810.5</v>
      </c>
    </row>
    <row r="47" spans="2:9" x14ac:dyDescent="0.3">
      <c r="B47" s="2" t="s">
        <v>2</v>
      </c>
      <c r="C47">
        <v>99872.1</v>
      </c>
      <c r="D47">
        <v>70542.600000000006</v>
      </c>
      <c r="E47">
        <v>52333.9</v>
      </c>
      <c r="F47">
        <v>43721.5</v>
      </c>
      <c r="G47">
        <v>34918.400000000001</v>
      </c>
      <c r="H47">
        <v>35292.699999999997</v>
      </c>
      <c r="I47">
        <v>33027.4</v>
      </c>
    </row>
    <row r="48" spans="2:9" x14ac:dyDescent="0.3">
      <c r="B48" s="2" t="s">
        <v>3</v>
      </c>
      <c r="C48">
        <v>102511.3</v>
      </c>
      <c r="D48">
        <v>72391.399999999994</v>
      </c>
      <c r="E48">
        <v>54055.199999999997</v>
      </c>
      <c r="F48">
        <v>45088.1</v>
      </c>
      <c r="G48">
        <v>35809.699999999997</v>
      </c>
      <c r="H48">
        <v>36173.199999999997</v>
      </c>
      <c r="I48">
        <v>33688.9</v>
      </c>
    </row>
    <row r="49" spans="2:9" x14ac:dyDescent="0.3">
      <c r="B49" s="2" t="s">
        <v>4</v>
      </c>
      <c r="C49">
        <v>99988.6</v>
      </c>
      <c r="D49">
        <v>71228.899999999994</v>
      </c>
      <c r="E49">
        <v>53024.7</v>
      </c>
      <c r="F49">
        <v>44415.3</v>
      </c>
      <c r="G49">
        <v>35266.199999999997</v>
      </c>
      <c r="H49">
        <v>35701.300000000003</v>
      </c>
      <c r="I49">
        <v>33210.800000000003</v>
      </c>
    </row>
    <row r="50" spans="2:9" x14ac:dyDescent="0.3">
      <c r="B50" s="2" t="s">
        <v>5</v>
      </c>
      <c r="C50" s="2">
        <f>AVERAGE(C45:C49)</f>
        <v>101017.7</v>
      </c>
      <c r="D50" s="2">
        <f t="shared" ref="D50:I50" si="4">AVERAGE(D45:D49)</f>
        <v>71757.8</v>
      </c>
      <c r="E50" s="2">
        <f t="shared" si="4"/>
        <v>53502.400000000001</v>
      </c>
      <c r="F50" s="2">
        <f t="shared" si="4"/>
        <v>44453.320000000007</v>
      </c>
      <c r="G50" s="2">
        <f t="shared" si="4"/>
        <v>35554.44</v>
      </c>
      <c r="H50" s="2">
        <f t="shared" si="4"/>
        <v>35924.119999999995</v>
      </c>
      <c r="I50" s="2">
        <f t="shared" si="4"/>
        <v>33438.36</v>
      </c>
    </row>
    <row r="52" spans="2:9" x14ac:dyDescent="0.3">
      <c r="B52" s="6" t="s">
        <v>24</v>
      </c>
      <c r="C52" s="6"/>
      <c r="D52" s="6"/>
      <c r="E52" s="6"/>
      <c r="F52" s="6"/>
      <c r="G52" s="6"/>
      <c r="H52" s="6"/>
      <c r="I52" s="6"/>
    </row>
    <row r="53" spans="2:9" x14ac:dyDescent="0.3">
      <c r="B53" s="2" t="s">
        <v>8</v>
      </c>
      <c r="C53" s="2">
        <v>1</v>
      </c>
      <c r="D53" s="2">
        <v>2</v>
      </c>
      <c r="E53" s="2">
        <v>4</v>
      </c>
      <c r="F53" s="2">
        <v>8</v>
      </c>
      <c r="G53" s="2">
        <v>16</v>
      </c>
      <c r="H53" s="2">
        <v>32</v>
      </c>
      <c r="I53" s="2">
        <v>64</v>
      </c>
    </row>
    <row r="54" spans="2:9" x14ac:dyDescent="0.3">
      <c r="B54" s="2" t="s">
        <v>0</v>
      </c>
      <c r="C54">
        <v>5.4480000000000004</v>
      </c>
      <c r="D54">
        <v>7.2401999999999997</v>
      </c>
      <c r="E54">
        <v>8.532</v>
      </c>
      <c r="F54">
        <v>11.9313</v>
      </c>
      <c r="G54">
        <v>12.401199999999999</v>
      </c>
      <c r="H54">
        <v>12.065</v>
      </c>
      <c r="I54">
        <v>12.5937</v>
      </c>
    </row>
    <row r="55" spans="2:9" x14ac:dyDescent="0.3">
      <c r="B55" s="2" t="s">
        <v>1</v>
      </c>
      <c r="C55">
        <v>5.5170000000000003</v>
      </c>
      <c r="D55">
        <v>7.3183999999999996</v>
      </c>
      <c r="E55">
        <v>8.6430000000000007</v>
      </c>
      <c r="F55">
        <v>12.112500000000001</v>
      </c>
      <c r="G55">
        <v>12.5824</v>
      </c>
      <c r="H55">
        <v>12.2034</v>
      </c>
      <c r="I55">
        <v>12.732100000000001</v>
      </c>
    </row>
    <row r="56" spans="2:9" x14ac:dyDescent="0.3">
      <c r="B56" s="2" t="s">
        <v>2</v>
      </c>
      <c r="C56">
        <v>5.399</v>
      </c>
      <c r="D56">
        <v>7.1851000000000003</v>
      </c>
      <c r="E56">
        <v>8.4619999999999997</v>
      </c>
      <c r="F56">
        <v>11.774800000000001</v>
      </c>
      <c r="G56">
        <v>12.2578</v>
      </c>
      <c r="H56">
        <v>11.981199999999999</v>
      </c>
      <c r="I56">
        <v>12.4846</v>
      </c>
    </row>
    <row r="57" spans="2:9" x14ac:dyDescent="0.3">
      <c r="B57" s="2" t="s">
        <v>3</v>
      </c>
      <c r="C57">
        <v>5.5609999999999999</v>
      </c>
      <c r="D57">
        <v>7.3615000000000004</v>
      </c>
      <c r="E57">
        <v>8.702</v>
      </c>
      <c r="F57">
        <v>12.043900000000001</v>
      </c>
      <c r="G57">
        <v>12.5036</v>
      </c>
      <c r="H57">
        <v>12.1768</v>
      </c>
      <c r="I57">
        <v>12.655900000000001</v>
      </c>
    </row>
    <row r="58" spans="2:9" x14ac:dyDescent="0.3">
      <c r="B58" s="2" t="s">
        <v>4</v>
      </c>
      <c r="C58">
        <v>5.4720000000000004</v>
      </c>
      <c r="D58">
        <v>7.2689000000000004</v>
      </c>
      <c r="E58">
        <v>8.5830000000000002</v>
      </c>
      <c r="F58">
        <v>11.8964</v>
      </c>
      <c r="G58">
        <v>12.351100000000001</v>
      </c>
      <c r="H58">
        <v>12.0123</v>
      </c>
      <c r="I58">
        <v>12.574199999999999</v>
      </c>
    </row>
    <row r="59" spans="2:9" x14ac:dyDescent="0.3">
      <c r="B59" s="2" t="s">
        <v>5</v>
      </c>
      <c r="C59" s="2">
        <f>AVERAGE(C54:C58)</f>
        <v>5.4794</v>
      </c>
      <c r="D59" s="2">
        <f t="shared" ref="D59:I59" si="5">AVERAGE(D54:D58)</f>
        <v>7.2748200000000001</v>
      </c>
      <c r="E59" s="2">
        <f t="shared" si="5"/>
        <v>8.5843999999999987</v>
      </c>
      <c r="F59" s="2">
        <f t="shared" si="5"/>
        <v>11.951780000000001</v>
      </c>
      <c r="G59" s="2">
        <f t="shared" si="5"/>
        <v>12.419219999999999</v>
      </c>
      <c r="H59" s="2">
        <f t="shared" si="5"/>
        <v>12.08774</v>
      </c>
      <c r="I59" s="2">
        <f t="shared" si="5"/>
        <v>12.6081</v>
      </c>
    </row>
  </sheetData>
  <mergeCells count="6">
    <mergeCell ref="B52:I52"/>
    <mergeCell ref="B6:I6"/>
    <mergeCell ref="B16:I16"/>
    <mergeCell ref="B25:I25"/>
    <mergeCell ref="B34:I34"/>
    <mergeCell ref="B43:I43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DA199-F4F6-46CF-9577-0D80CA3F4AF9}">
  <dimension ref="A1:H13"/>
  <sheetViews>
    <sheetView tabSelected="1" workbookViewId="0">
      <selection activeCell="I3" sqref="I3"/>
    </sheetView>
  </sheetViews>
  <sheetFormatPr defaultRowHeight="14.4" x14ac:dyDescent="0.3"/>
  <cols>
    <col min="1" max="1" width="10.6640625" customWidth="1"/>
  </cols>
  <sheetData>
    <row r="1" spans="1:8" x14ac:dyDescent="0.3">
      <c r="A1" s="5" t="s">
        <v>8</v>
      </c>
      <c r="B1" s="5">
        <v>1</v>
      </c>
      <c r="C1" s="5">
        <v>2</v>
      </c>
      <c r="D1" s="5">
        <v>4</v>
      </c>
      <c r="E1" s="5">
        <v>8</v>
      </c>
      <c r="F1" s="5">
        <v>16</v>
      </c>
      <c r="G1" s="5">
        <v>32</v>
      </c>
      <c r="H1" s="5">
        <v>64</v>
      </c>
    </row>
    <row r="2" spans="1:8" x14ac:dyDescent="0.3">
      <c r="A2" s="5" t="s">
        <v>26</v>
      </c>
      <c r="B2" s="4">
        <v>0.60538000000000003</v>
      </c>
      <c r="C2" s="4">
        <v>0.88941999999999999</v>
      </c>
      <c r="D2" s="4">
        <v>1.2304199999999998</v>
      </c>
      <c r="E2" s="4">
        <v>1.1334399999999998</v>
      </c>
      <c r="F2" s="4">
        <v>1.6110399999999998</v>
      </c>
      <c r="G2" s="4">
        <v>1.4370799999999999</v>
      </c>
      <c r="H2" s="4">
        <v>3.4492199999999995</v>
      </c>
    </row>
    <row r="3" spans="1:8" x14ac:dyDescent="0.3">
      <c r="A3" s="5" t="s">
        <v>31</v>
      </c>
      <c r="B3" s="4">
        <v>0.76937999999999995</v>
      </c>
      <c r="C3" s="4">
        <v>0.86899999999999999</v>
      </c>
      <c r="D3" s="4">
        <v>1.67334</v>
      </c>
      <c r="E3" s="4">
        <v>1.2407599999999999</v>
      </c>
      <c r="F3" s="4">
        <v>1.83996</v>
      </c>
      <c r="G3" s="4">
        <v>1.7889600000000001</v>
      </c>
      <c r="H3" s="4">
        <v>2.2044799999999998</v>
      </c>
    </row>
    <row r="4" spans="1:8" x14ac:dyDescent="0.3">
      <c r="A4" s="5" t="s">
        <v>25</v>
      </c>
      <c r="B4" s="4">
        <v>1.7931999999999999</v>
      </c>
      <c r="C4" s="4">
        <v>2.3322000000000003</v>
      </c>
      <c r="D4" s="4">
        <v>4.8094000000000001</v>
      </c>
      <c r="E4" s="4">
        <v>4.6130000000000004</v>
      </c>
      <c r="F4" s="4">
        <v>4.5909999999999993</v>
      </c>
      <c r="G4" s="4">
        <v>5.5115999999999996</v>
      </c>
      <c r="H4" s="4">
        <v>5.7767999999999997</v>
      </c>
    </row>
    <row r="5" spans="1:8" x14ac:dyDescent="0.3">
      <c r="A5" s="5" t="s">
        <v>32</v>
      </c>
      <c r="B5" s="4">
        <v>2.68716</v>
      </c>
      <c r="C5" s="4">
        <v>3.1735600000000002</v>
      </c>
      <c r="D5" s="4">
        <v>5.2031599999999996</v>
      </c>
      <c r="E5" s="4">
        <v>5.4901600000000004</v>
      </c>
      <c r="F5" s="4">
        <v>6.8077799999999993</v>
      </c>
      <c r="G5" s="4">
        <v>5.78782</v>
      </c>
      <c r="H5" s="4">
        <v>6.1817200000000003</v>
      </c>
    </row>
    <row r="6" spans="1:8" x14ac:dyDescent="0.3">
      <c r="A6" s="5" t="s">
        <v>27</v>
      </c>
      <c r="B6" s="4">
        <v>4.4726999999999997</v>
      </c>
      <c r="C6" s="4">
        <v>5.3266</v>
      </c>
      <c r="D6" s="4">
        <v>7.309400000000001</v>
      </c>
      <c r="E6" s="4">
        <v>11.169599999999999</v>
      </c>
      <c r="F6" s="4">
        <v>12.402620000000001</v>
      </c>
      <c r="G6" s="4">
        <v>11.153880000000001</v>
      </c>
      <c r="H6" s="4">
        <v>11.27338</v>
      </c>
    </row>
    <row r="7" spans="1:8" x14ac:dyDescent="0.3">
      <c r="A7" s="5" t="s">
        <v>33</v>
      </c>
      <c r="B7" s="4">
        <v>5.4794</v>
      </c>
      <c r="C7" s="4">
        <v>7.2748200000000001</v>
      </c>
      <c r="D7" s="4">
        <v>8.5843999999999987</v>
      </c>
      <c r="E7" s="4">
        <v>11.951780000000001</v>
      </c>
      <c r="F7" s="4">
        <v>12.419219999999999</v>
      </c>
      <c r="G7" s="4">
        <v>12.08774</v>
      </c>
      <c r="H7" s="4">
        <v>12.6081</v>
      </c>
    </row>
    <row r="10" spans="1:8" x14ac:dyDescent="0.3">
      <c r="A10" s="5" t="s">
        <v>8</v>
      </c>
      <c r="B10" s="5">
        <v>1</v>
      </c>
      <c r="C10" s="5">
        <v>2</v>
      </c>
      <c r="D10" s="5">
        <v>4</v>
      </c>
      <c r="E10" s="5">
        <v>8</v>
      </c>
      <c r="F10" s="5">
        <v>16</v>
      </c>
      <c r="G10" s="5">
        <v>32</v>
      </c>
      <c r="H10" s="5">
        <v>64</v>
      </c>
    </row>
    <row r="11" spans="1:8" x14ac:dyDescent="0.3">
      <c r="A11" s="5" t="s">
        <v>28</v>
      </c>
      <c r="B11" s="4">
        <v>8.6866599999999998</v>
      </c>
      <c r="C11" s="4">
        <v>8.12988</v>
      </c>
      <c r="D11" s="4">
        <v>17.754420000000003</v>
      </c>
      <c r="E11" s="4">
        <v>30.497839999999997</v>
      </c>
      <c r="F11" s="4">
        <v>30.01596</v>
      </c>
      <c r="G11" s="4">
        <v>30.447319999999998</v>
      </c>
      <c r="H11" s="4">
        <v>46.975239999999999</v>
      </c>
    </row>
    <row r="12" spans="1:8" x14ac:dyDescent="0.3">
      <c r="A12" s="5" t="s">
        <v>29</v>
      </c>
      <c r="B12" s="4">
        <v>26.601999999999997</v>
      </c>
      <c r="C12" s="4">
        <v>30.159199999999998</v>
      </c>
      <c r="D12" s="4">
        <v>102.09540000000001</v>
      </c>
      <c r="E12" s="4">
        <v>122.96799999999999</v>
      </c>
      <c r="F12" s="4">
        <v>132.62359999999998</v>
      </c>
      <c r="G12" s="4">
        <v>118.6362</v>
      </c>
      <c r="H12" s="4">
        <v>98.034599999999998</v>
      </c>
    </row>
    <row r="13" spans="1:8" x14ac:dyDescent="0.3">
      <c r="A13" s="5" t="s">
        <v>30</v>
      </c>
      <c r="B13" s="4">
        <v>78.192579999999992</v>
      </c>
      <c r="C13" s="4">
        <v>98.121800000000007</v>
      </c>
      <c r="D13" s="4">
        <v>94.331540000000004</v>
      </c>
      <c r="E13" s="4">
        <v>160.58520000000001</v>
      </c>
      <c r="F13" s="4">
        <v>274.15600000000001</v>
      </c>
      <c r="G13" s="4">
        <v>310.5752</v>
      </c>
      <c r="H13" s="4">
        <v>654.14239999999995</v>
      </c>
    </row>
  </sheetData>
  <conditionalFormatting sqref="B2:H3">
    <cfRule type="colorScale" priority="6">
      <colorScale>
        <cfvo type="min"/>
        <cfvo type="max"/>
        <color theme="7" tint="0.79998168889431442"/>
        <color theme="7" tint="0.39997558519241921"/>
      </colorScale>
    </cfRule>
  </conditionalFormatting>
  <conditionalFormatting sqref="B4:H5">
    <cfRule type="colorScale" priority="5">
      <colorScale>
        <cfvo type="min"/>
        <cfvo type="max"/>
        <color theme="5" tint="0.79998168889431442"/>
        <color theme="5" tint="0.39997558519241921"/>
      </colorScale>
    </cfRule>
  </conditionalFormatting>
  <conditionalFormatting sqref="B6:H7">
    <cfRule type="colorScale" priority="4">
      <colorScale>
        <cfvo type="min"/>
        <cfvo type="max"/>
        <color theme="9" tint="0.79998168889431442"/>
        <color theme="9" tint="0.39997558519241921"/>
      </colorScale>
    </cfRule>
  </conditionalFormatting>
  <conditionalFormatting sqref="B11:H11">
    <cfRule type="colorScale" priority="3">
      <colorScale>
        <cfvo type="min"/>
        <cfvo type="max"/>
        <color theme="7" tint="0.79998168889431442"/>
        <color theme="7" tint="0.39997558519241921"/>
      </colorScale>
    </cfRule>
  </conditionalFormatting>
  <conditionalFormatting sqref="B12:H12">
    <cfRule type="colorScale" priority="2">
      <colorScale>
        <cfvo type="min"/>
        <cfvo type="max"/>
        <color theme="5" tint="0.79998168889431442"/>
        <color theme="5" tint="0.39997558519241921"/>
      </colorScale>
    </cfRule>
  </conditionalFormatting>
  <conditionalFormatting sqref="B13:H13">
    <cfRule type="colorScale" priority="1">
      <colorScale>
        <cfvo type="min"/>
        <cfvo type="max"/>
        <color theme="9" tint="0.79998168889431442"/>
        <color theme="9" tint="0.39997558519241921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</vt:lpstr>
      <vt:lpstr>Całkowity_czas</vt:lpstr>
      <vt:lpstr>M</vt:lpstr>
      <vt:lpstr>L</vt:lpstr>
      <vt:lpstr>Czas_dll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Błażej Jamrozik (bj311378)</dc:creator>
  <cp:lastModifiedBy>Błażej Jamrozik (bj311378)</cp:lastModifiedBy>
  <dcterms:created xsi:type="dcterms:W3CDTF">2025-11-27T18:22:48Z</dcterms:created>
  <dcterms:modified xsi:type="dcterms:W3CDTF">2025-11-30T12:49:07Z</dcterms:modified>
</cp:coreProperties>
</file>